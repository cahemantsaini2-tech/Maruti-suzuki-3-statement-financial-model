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iyde\Desktop\Financial model from the scratch\"/>
    </mc:Choice>
  </mc:AlternateContent>
  <xr:revisionPtr revIDLastSave="0" documentId="13_ncr:1_{DD828C00-E898-44F2-B51A-215BE7AA240B}" xr6:coauthVersionLast="47" xr6:coauthVersionMax="47" xr10:uidLastSave="{00000000-0000-0000-0000-000000000000}"/>
  <bookViews>
    <workbookView xWindow="-110" yWindow="-110" windowWidth="19420" windowHeight="10300" tabRatio="736" xr2:uid="{00000000-000D-0000-FFFF-FFFF00000000}"/>
  </bookViews>
  <sheets>
    <sheet name="Assumptions" sheetId="1" r:id="rId1"/>
    <sheet name="Historical" sheetId="2" r:id="rId2"/>
    <sheet name="Revenue" sheetId="3" r:id="rId3"/>
    <sheet name="Cost" sheetId="4" r:id="rId4"/>
    <sheet name="P&amp;L" sheetId="5" r:id="rId5"/>
    <sheet name="working capital" sheetId="6" r:id="rId6"/>
    <sheet name="cash flow" sheetId="7" r:id="rId7"/>
    <sheet name="Dashboard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3" l="1"/>
  <c r="E21" i="3" s="1"/>
  <c r="F21" i="3" s="1"/>
  <c r="G21" i="3" s="1"/>
  <c r="H21" i="3" s="1"/>
  <c r="D20" i="3"/>
  <c r="E20" i="3" s="1"/>
  <c r="F20" i="3" s="1"/>
  <c r="G20" i="3" s="1"/>
  <c r="H20" i="3" s="1"/>
  <c r="D17" i="3"/>
  <c r="E17" i="3" s="1"/>
  <c r="F17" i="3" s="1"/>
  <c r="G17" i="3" s="1"/>
  <c r="H17" i="3" s="1"/>
  <c r="D16" i="3"/>
  <c r="E16" i="3" s="1"/>
  <c r="F16" i="3" s="1"/>
  <c r="G16" i="3" s="1"/>
  <c r="H16" i="3" s="1"/>
  <c r="C4" i="7"/>
  <c r="D2" i="7"/>
  <c r="E2" i="7" s="1"/>
  <c r="F2" i="7" s="1"/>
  <c r="G2" i="7" s="1"/>
  <c r="H2" i="7" s="1"/>
  <c r="C6" i="5"/>
  <c r="D2" i="4"/>
  <c r="E2" i="4" s="1"/>
  <c r="F2" i="4" s="1"/>
  <c r="G2" i="4" s="1"/>
  <c r="H2" i="4" s="1"/>
  <c r="C7" i="6"/>
  <c r="D2" i="6"/>
  <c r="E2" i="6" s="1"/>
  <c r="F2" i="6" s="1"/>
  <c r="G2" i="6" s="1"/>
  <c r="H2" i="6" s="1"/>
  <c r="D10" i="2"/>
  <c r="E10" i="2"/>
  <c r="F10" i="2"/>
  <c r="G10" i="2"/>
  <c r="C10" i="2"/>
  <c r="C14" i="1"/>
  <c r="D14" i="1" s="1"/>
  <c r="E14" i="1" s="1"/>
  <c r="F14" i="1" s="1"/>
  <c r="D2" i="5"/>
  <c r="E2" i="5" s="1"/>
  <c r="F2" i="5" s="1"/>
  <c r="G2" i="5" s="1"/>
  <c r="H2" i="5" s="1"/>
  <c r="C9" i="1"/>
  <c r="D9" i="1" s="1"/>
  <c r="E9" i="1" s="1"/>
  <c r="F9" i="1" s="1"/>
  <c r="C4" i="1"/>
  <c r="D4" i="1" s="1"/>
  <c r="E4" i="1" s="1"/>
  <c r="F4" i="1" s="1"/>
  <c r="D15" i="3"/>
  <c r="E15" i="3" s="1"/>
  <c r="F15" i="3" s="1"/>
  <c r="G15" i="3" s="1"/>
  <c r="H15" i="3" s="1"/>
  <c r="C7" i="3"/>
  <c r="C6" i="3"/>
  <c r="C17" i="3" s="1"/>
  <c r="C5" i="3"/>
  <c r="C16" i="3" s="1"/>
  <c r="C4" i="3"/>
  <c r="C3" i="3"/>
  <c r="D6" i="2"/>
  <c r="E6" i="2"/>
  <c r="F6" i="2"/>
  <c r="G6" i="2"/>
  <c r="C6" i="2"/>
  <c r="C9" i="3" l="1"/>
  <c r="C8" i="3"/>
  <c r="D18" i="3"/>
  <c r="C18" i="3"/>
  <c r="C11" i="3" l="1"/>
  <c r="C22" i="3" s="1"/>
  <c r="C20" i="3"/>
  <c r="C10" i="3"/>
  <c r="D19" i="3"/>
  <c r="E18" i="3"/>
  <c r="E19" i="3" s="1"/>
  <c r="C12" i="3" l="1"/>
  <c r="C21" i="3"/>
  <c r="D22" i="3"/>
  <c r="F18" i="3"/>
  <c r="F19" i="3" s="1"/>
  <c r="E22" i="3" l="1"/>
  <c r="D23" i="3"/>
  <c r="D24" i="3" s="1"/>
  <c r="C13" i="3"/>
  <c r="C23" i="3"/>
  <c r="C24" i="3" s="1"/>
  <c r="H18" i="3"/>
  <c r="G18" i="3"/>
  <c r="G19" i="3" s="1"/>
  <c r="D3" i="4" l="1"/>
  <c r="D4" i="4" s="1"/>
  <c r="D5" i="4" s="1"/>
  <c r="D6" i="4" s="1"/>
  <c r="D3" i="5"/>
  <c r="C3" i="5"/>
  <c r="C3" i="4"/>
  <c r="E23" i="3"/>
  <c r="E24" i="3"/>
  <c r="F22" i="3"/>
  <c r="H19" i="3"/>
  <c r="H22" i="3" l="1"/>
  <c r="G22" i="3"/>
  <c r="E3" i="4"/>
  <c r="E4" i="4" s="1"/>
  <c r="E5" i="4" s="1"/>
  <c r="E6" i="4" s="1"/>
  <c r="E3" i="5"/>
  <c r="F23" i="3"/>
  <c r="F24" i="3" s="1"/>
  <c r="C4" i="4"/>
  <c r="C5" i="4"/>
  <c r="C5" i="5" s="1"/>
  <c r="B4" i="8"/>
  <c r="C3" i="6"/>
  <c r="D12" i="5"/>
  <c r="D11" i="5"/>
  <c r="D3" i="6"/>
  <c r="D9" i="5"/>
  <c r="D4" i="7" s="1"/>
  <c r="D7" i="7"/>
  <c r="D4" i="5"/>
  <c r="D4" i="6" l="1"/>
  <c r="D6" i="6"/>
  <c r="D5" i="6"/>
  <c r="F3" i="5"/>
  <c r="F3" i="4"/>
  <c r="F4" i="4" s="1"/>
  <c r="F5" i="4" s="1"/>
  <c r="F6" i="4" s="1"/>
  <c r="C4" i="5"/>
  <c r="C7" i="5" s="1"/>
  <c r="C7" i="4"/>
  <c r="D5" i="5"/>
  <c r="H23" i="3"/>
  <c r="H24" i="3" s="1"/>
  <c r="G23" i="3"/>
  <c r="G24" i="3" s="1"/>
  <c r="E11" i="5"/>
  <c r="E9" i="5"/>
  <c r="E4" i="7" s="1"/>
  <c r="E7" i="7"/>
  <c r="E12" i="5"/>
  <c r="E3" i="6"/>
  <c r="E4" i="5"/>
  <c r="E5" i="6" l="1"/>
  <c r="E4" i="6"/>
  <c r="E6" i="6"/>
  <c r="H3" i="4"/>
  <c r="H4" i="4" s="1"/>
  <c r="H5" i="4" s="1"/>
  <c r="H6" i="4" s="1"/>
  <c r="H3" i="5"/>
  <c r="G3" i="5"/>
  <c r="G3" i="4"/>
  <c r="G4" i="4" s="1"/>
  <c r="G5" i="4" s="1"/>
  <c r="G6" i="4" s="1"/>
  <c r="D7" i="6"/>
  <c r="D8" i="6" s="1"/>
  <c r="D6" i="5"/>
  <c r="D7" i="5" s="1"/>
  <c r="D7" i="4"/>
  <c r="E5" i="5"/>
  <c r="B5" i="8"/>
  <c r="C10" i="5"/>
  <c r="C13" i="5" s="1"/>
  <c r="C8" i="5"/>
  <c r="B6" i="8" s="1"/>
  <c r="F4" i="5"/>
  <c r="F12" i="5"/>
  <c r="F11" i="5"/>
  <c r="F9" i="5"/>
  <c r="F4" i="7" s="1"/>
  <c r="F7" i="7"/>
  <c r="F3" i="6"/>
  <c r="F6" i="6" l="1"/>
  <c r="F5" i="6"/>
  <c r="F4" i="6"/>
  <c r="D8" i="5"/>
  <c r="D10" i="5"/>
  <c r="D13" i="5" s="1"/>
  <c r="E6" i="5"/>
  <c r="E7" i="5" s="1"/>
  <c r="E7" i="4"/>
  <c r="F5" i="5"/>
  <c r="G4" i="5"/>
  <c r="G12" i="5"/>
  <c r="G11" i="5"/>
  <c r="G9" i="5"/>
  <c r="G4" i="7" s="1"/>
  <c r="G3" i="6"/>
  <c r="G7" i="7"/>
  <c r="H12" i="5"/>
  <c r="H11" i="5"/>
  <c r="C4" i="8"/>
  <c r="B10" i="8" s="1"/>
  <c r="H9" i="5"/>
  <c r="H4" i="7" s="1"/>
  <c r="H3" i="6"/>
  <c r="H7" i="7"/>
  <c r="E7" i="6"/>
  <c r="E8" i="6" s="1"/>
  <c r="H4" i="5"/>
  <c r="C14" i="5"/>
  <c r="C15" i="5" s="1"/>
  <c r="H4" i="6" l="1"/>
  <c r="H6" i="6"/>
  <c r="H5" i="6"/>
  <c r="G6" i="6"/>
  <c r="G5" i="6"/>
  <c r="G4" i="6"/>
  <c r="E8" i="5"/>
  <c r="E10" i="5"/>
  <c r="E13" i="5" s="1"/>
  <c r="E14" i="5" s="1"/>
  <c r="E15" i="5" s="1"/>
  <c r="E3" i="7" s="1"/>
  <c r="B7" i="8"/>
  <c r="C3" i="7"/>
  <c r="G5" i="5"/>
  <c r="F6" i="5"/>
  <c r="F7" i="5" s="1"/>
  <c r="F7" i="4"/>
  <c r="F7" i="6"/>
  <c r="F8" i="6" s="1"/>
  <c r="H5" i="5"/>
  <c r="D14" i="5"/>
  <c r="D15" i="5" s="1"/>
  <c r="D3" i="7" s="1"/>
  <c r="G6" i="5" l="1"/>
  <c r="G7" i="5" s="1"/>
  <c r="G7" i="4"/>
  <c r="D9" i="7"/>
  <c r="H6" i="5"/>
  <c r="H7" i="5" s="1"/>
  <c r="H7" i="4"/>
  <c r="H7" i="6"/>
  <c r="E9" i="7"/>
  <c r="G7" i="6"/>
  <c r="G8" i="6" s="1"/>
  <c r="F8" i="5"/>
  <c r="F10" i="5"/>
  <c r="F13" i="5" s="1"/>
  <c r="F14" i="5" s="1"/>
  <c r="F15" i="5" s="1"/>
  <c r="F3" i="7" s="1"/>
  <c r="H8" i="6" l="1"/>
  <c r="C5" i="7" s="1" a="1"/>
  <c r="F6" i="7" s="1"/>
  <c r="F8" i="7" s="1"/>
  <c r="C5" i="8"/>
  <c r="B11" i="8" s="1"/>
  <c r="H8" i="5"/>
  <c r="C6" i="8" s="1"/>
  <c r="B12" i="8" s="1"/>
  <c r="H10" i="5"/>
  <c r="H13" i="5" s="1"/>
  <c r="H14" i="5" s="1"/>
  <c r="H15" i="5" s="1"/>
  <c r="G8" i="5"/>
  <c r="G10" i="5"/>
  <c r="G13" i="5" s="1"/>
  <c r="G14" i="5" s="1"/>
  <c r="G15" i="5" s="1"/>
  <c r="G3" i="7" s="1"/>
  <c r="F9" i="7"/>
  <c r="E6" i="7" l="1"/>
  <c r="E8" i="7" s="1"/>
  <c r="E10" i="7" s="1"/>
  <c r="D6" i="7"/>
  <c r="D8" i="7" s="1"/>
  <c r="D10" i="7" s="1"/>
  <c r="C5" i="7"/>
  <c r="C6" i="7" s="1"/>
  <c r="C8" i="7" s="1"/>
  <c r="C10" i="7" s="1"/>
  <c r="F10" i="7"/>
  <c r="G9" i="7"/>
  <c r="G6" i="7"/>
  <c r="G8" i="7" s="1"/>
  <c r="C7" i="8"/>
  <c r="H3" i="7"/>
  <c r="G10" i="7" l="1"/>
  <c r="H9" i="7"/>
  <c r="H6" i="7"/>
  <c r="H8" i="7" s="1"/>
  <c r="H10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Jyoti .</author>
  </authors>
  <commentList>
    <comment ref="A5" authorId="0" shapeId="0" xr:uid="{B8A887CE-33E4-4F74-828D-816F731070C5}">
      <text>
        <r>
          <rPr>
            <b/>
            <sz val="9"/>
            <color indexed="81"/>
            <rFont val="Tahoma"/>
            <family val="2"/>
          </rPr>
          <t>Me .:Based on historical domestic sales growth (6-7%) and moderate market slowdown in mature market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" authorId="0" shapeId="0" xr:uid="{5EA6CC6F-DED7-4D30-AF02-AF9B90982913}">
      <text>
        <r>
          <rPr>
            <b/>
            <sz val="9"/>
            <color indexed="81"/>
            <rFont val="Tahoma"/>
            <family val="2"/>
          </rPr>
          <t>Me: Higher growth initially due to new export markets, gradually stabalise as volumes mature</t>
        </r>
      </text>
    </comment>
    <comment ref="A10" authorId="0" shapeId="0" xr:uid="{DB6FF85B-71AF-434B-89ED-C4BC0F38754F}">
      <text>
        <r>
          <rPr>
            <b/>
            <sz val="9"/>
            <color indexed="81"/>
            <rFont val="Tahoma"/>
            <family val="2"/>
          </rPr>
          <t>Me: Assuiming competitive presurre limits aggressive price hikes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" authorId="0" shapeId="0" xr:uid="{6D53E18F-A52F-4CAD-84E4-1AB6C07C9E17}">
      <text>
        <r>
          <rPr>
            <b/>
            <sz val="9"/>
            <color indexed="81"/>
            <rFont val="Tahoma"/>
            <family val="2"/>
          </rPr>
          <t>Me: Foreign markets may have currency fluctuations thus a conservative price growth</t>
        </r>
      </text>
    </comment>
    <comment ref="A15" authorId="0" shapeId="0" xr:uid="{84032428-FC7C-41C0-886D-B322D02C7304}">
      <text>
        <r>
          <rPr>
            <b/>
            <sz val="9"/>
            <color indexed="81"/>
            <rFont val="Tahoma"/>
            <family val="2"/>
          </rPr>
          <t>Me: Gradually reduces due to operational efficency and scale benefits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" authorId="0" shapeId="0" xr:uid="{C39CBDF1-A9CB-43BF-9888-C16650F10603}">
      <text>
        <r>
          <rPr>
            <b/>
            <sz val="9"/>
            <color indexed="81"/>
            <rFont val="Tahoma"/>
            <family val="2"/>
          </rPr>
          <t>Me: Slight reduction due to efficiency improvement</t>
        </r>
      </text>
    </comment>
    <comment ref="A17" authorId="0" shapeId="0" xr:uid="{98143298-BEC4-43C7-8CAC-F8F6E131679D}">
      <text>
        <r>
          <rPr>
            <b/>
            <sz val="9"/>
            <color indexed="81"/>
            <rFont val="Tahoma"/>
            <family val="2"/>
          </rPr>
          <t>Me: Slightly decline due to cost optimisation initiatives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<sst xmlns="http://schemas.openxmlformats.org/spreadsheetml/2006/main" count="146" uniqueCount="96">
  <si>
    <t>Year</t>
  </si>
  <si>
    <t>FY 21</t>
  </si>
  <si>
    <t>FY 24</t>
  </si>
  <si>
    <t>Revenue</t>
  </si>
  <si>
    <t>EBITDA</t>
  </si>
  <si>
    <t>EBITDA %</t>
  </si>
  <si>
    <t>PAT</t>
  </si>
  <si>
    <t>Volume (Unit Sold)</t>
  </si>
  <si>
    <t>Rs. In crores</t>
  </si>
  <si>
    <t>Volume Assumption</t>
  </si>
  <si>
    <t>Items</t>
  </si>
  <si>
    <t>Value</t>
  </si>
  <si>
    <t>Domestic Growth %</t>
  </si>
  <si>
    <t>Export Growth %</t>
  </si>
  <si>
    <t>Pricing Assumptions</t>
  </si>
  <si>
    <t>Item</t>
  </si>
  <si>
    <t>Cost Assumption</t>
  </si>
  <si>
    <t>Raw material % of sales</t>
  </si>
  <si>
    <t>Employee Cost %</t>
  </si>
  <si>
    <t>Other Expenses %</t>
  </si>
  <si>
    <t>Working Capital</t>
  </si>
  <si>
    <t>Payable Days</t>
  </si>
  <si>
    <t>Inventory Days</t>
  </si>
  <si>
    <t>Receivable Days</t>
  </si>
  <si>
    <t>Particulars</t>
  </si>
  <si>
    <t>Total Volume</t>
  </si>
  <si>
    <t>Domestic Volume</t>
  </si>
  <si>
    <t>Export Volume</t>
  </si>
  <si>
    <t>Domestic  %</t>
  </si>
  <si>
    <t>Export  %</t>
  </si>
  <si>
    <t xml:space="preserve">Volume breakup </t>
  </si>
  <si>
    <t>ASP</t>
  </si>
  <si>
    <t>Rs. In Crores</t>
  </si>
  <si>
    <t>Domestic ASP</t>
  </si>
  <si>
    <t>Export ASP</t>
  </si>
  <si>
    <t xml:space="preserve">Export cars often cheaper </t>
  </si>
  <si>
    <t>Export ASP Discount %</t>
  </si>
  <si>
    <t>Domestic Revenue</t>
  </si>
  <si>
    <t>Export Revenue</t>
  </si>
  <si>
    <t>Total Revenue Check</t>
  </si>
  <si>
    <t>Particular</t>
  </si>
  <si>
    <t>Total Growth %</t>
  </si>
  <si>
    <t>Domestic ASP Growth %</t>
  </si>
  <si>
    <t>Export ASP Growth %</t>
  </si>
  <si>
    <t>Total Revenue</t>
  </si>
  <si>
    <t>Reveune</t>
  </si>
  <si>
    <t>Raw Material cost</t>
  </si>
  <si>
    <t>Employee cost</t>
  </si>
  <si>
    <t>Other Expenses</t>
  </si>
  <si>
    <t>Depreciation</t>
  </si>
  <si>
    <t>EBIT</t>
  </si>
  <si>
    <t>Interest</t>
  </si>
  <si>
    <t>PBT</t>
  </si>
  <si>
    <t>Tax</t>
  </si>
  <si>
    <t>Depreciation %</t>
  </si>
  <si>
    <t>Other Income</t>
  </si>
  <si>
    <t>Interest %</t>
  </si>
  <si>
    <t>Tax % (of PBT)</t>
  </si>
  <si>
    <t>Other Income %</t>
  </si>
  <si>
    <t>Receivables</t>
  </si>
  <si>
    <t>Inventory</t>
  </si>
  <si>
    <t>Payables</t>
  </si>
  <si>
    <t>Change in NWC</t>
  </si>
  <si>
    <t>Net working Capital (NWC)</t>
  </si>
  <si>
    <t>Total Cost</t>
  </si>
  <si>
    <t>FY 22</t>
  </si>
  <si>
    <t>FY 23</t>
  </si>
  <si>
    <t>FY 25</t>
  </si>
  <si>
    <t>+ Depreciation</t>
  </si>
  <si>
    <t>Cash Flow from Operations (CFO)</t>
  </si>
  <si>
    <t>- Capex</t>
  </si>
  <si>
    <t>Cash Flow from Investing (CFI)</t>
  </si>
  <si>
    <t>Net Cash Flow</t>
  </si>
  <si>
    <t>Dividend</t>
  </si>
  <si>
    <t>Dividend % (of PAT)</t>
  </si>
  <si>
    <t>Capex %</t>
  </si>
  <si>
    <t>Key Metrics</t>
  </si>
  <si>
    <t>Metric</t>
  </si>
  <si>
    <t>Revenue CAGR</t>
  </si>
  <si>
    <t>EBITDA CAGR</t>
  </si>
  <si>
    <t>PAT CAGR</t>
  </si>
  <si>
    <t>Based on historical trends</t>
  </si>
  <si>
    <t>Based on typical B2C trend of maruti and might extend period to remain competitive</t>
  </si>
  <si>
    <t>Industry benchmark</t>
  </si>
  <si>
    <t>Assumed to stabalize strong relations with supplier etc.</t>
  </si>
  <si>
    <t>Historical trend</t>
  </si>
  <si>
    <t>Scenario Control</t>
  </si>
  <si>
    <t>Base</t>
  </si>
  <si>
    <t>Upside</t>
  </si>
  <si>
    <t>Downside</t>
  </si>
  <si>
    <t>Driver</t>
  </si>
  <si>
    <t>Upside Adj</t>
  </si>
  <si>
    <t>Downside Adj</t>
  </si>
  <si>
    <t>Volume Growth</t>
  </si>
  <si>
    <t>ASP Growth</t>
  </si>
  <si>
    <t>Raw Material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</si>
</sst>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&quot;FY&quot;\ ###"/>
    <numFmt numFmtId="165" formatCode="_ * #,##0_ ;_ * \-#,##0_ ;_ * &quot;-&quot;??_ ;_ @_ "/>
    <numFmt numFmtId="166" formatCode="0.0000"/>
    <numFmt numFmtId="167" formatCode="&quot;FY&quot;\ 00&quot;E&quot;"/>
    <numFmt numFmtId="168" formatCode="&quot;FY&quot;\ ##&quot;A&quot;"/>
    <numFmt numFmtId="169" formatCode="&quot;FY&quot;\ ##"/>
    <numFmt numFmtId="170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0" fillId="0" borderId="1" xfId="0" applyBorder="1"/>
    <xf numFmtId="9" fontId="0" fillId="0" borderId="1" xfId="2" applyFont="1" applyBorder="1"/>
    <xf numFmtId="9" fontId="5" fillId="0" borderId="1" xfId="2" applyFont="1" applyBorder="1"/>
    <xf numFmtId="0" fontId="2" fillId="2" borderId="1" xfId="0" applyFont="1" applyFill="1" applyBorder="1"/>
    <xf numFmtId="169" fontId="2" fillId="2" borderId="1" xfId="0" applyNumberFormat="1" applyFont="1" applyFill="1" applyBorder="1"/>
    <xf numFmtId="0" fontId="2" fillId="2" borderId="2" xfId="0" applyFont="1" applyFill="1" applyBorder="1"/>
    <xf numFmtId="170" fontId="5" fillId="0" borderId="1" xfId="2" applyNumberFormat="1" applyFont="1" applyBorder="1"/>
    <xf numFmtId="1" fontId="0" fillId="0" borderId="1" xfId="0" applyNumberFormat="1" applyBorder="1"/>
    <xf numFmtId="9" fontId="6" fillId="0" borderId="1" xfId="2" applyFont="1" applyBorder="1"/>
    <xf numFmtId="0" fontId="0" fillId="0" borderId="4" xfId="0" applyBorder="1"/>
    <xf numFmtId="1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6" fillId="0" borderId="11" xfId="0" applyFont="1" applyBorder="1"/>
    <xf numFmtId="0" fontId="0" fillId="0" borderId="12" xfId="0" applyBorder="1"/>
    <xf numFmtId="165" fontId="0" fillId="0" borderId="1" xfId="0" applyNumberFormat="1" applyBorder="1"/>
    <xf numFmtId="165" fontId="6" fillId="0" borderId="1" xfId="0" applyNumberFormat="1" applyFont="1" applyBorder="1"/>
    <xf numFmtId="166" fontId="0" fillId="0" borderId="1" xfId="0" applyNumberFormat="1" applyBorder="1"/>
    <xf numFmtId="165" fontId="0" fillId="0" borderId="4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165" fontId="6" fillId="0" borderId="9" xfId="0" applyNumberFormat="1" applyFont="1" applyBorder="1"/>
    <xf numFmtId="0" fontId="6" fillId="0" borderId="9" xfId="0" applyFont="1" applyBorder="1"/>
    <xf numFmtId="166" fontId="0" fillId="0" borderId="9" xfId="0" applyNumberFormat="1" applyBorder="1"/>
    <xf numFmtId="0" fontId="6" fillId="0" borderId="12" xfId="0" applyFont="1" applyBorder="1"/>
    <xf numFmtId="0" fontId="5" fillId="0" borderId="1" xfId="2" applyNumberFormat="1" applyFont="1" applyBorder="1"/>
    <xf numFmtId="165" fontId="0" fillId="0" borderId="1" xfId="1" applyNumberFormat="1" applyFont="1" applyBorder="1"/>
    <xf numFmtId="165" fontId="0" fillId="0" borderId="4" xfId="1" applyNumberFormat="1" applyFont="1" applyBorder="1"/>
    <xf numFmtId="0" fontId="2" fillId="0" borderId="13" xfId="0" applyFont="1" applyBorder="1"/>
    <xf numFmtId="164" fontId="2" fillId="0" borderId="14" xfId="0" applyNumberFormat="1" applyFont="1" applyBorder="1"/>
    <xf numFmtId="164" fontId="2" fillId="0" borderId="15" xfId="0" applyNumberFormat="1" applyFont="1" applyBorder="1"/>
    <xf numFmtId="0" fontId="0" fillId="0" borderId="2" xfId="0" applyBorder="1"/>
    <xf numFmtId="9" fontId="0" fillId="0" borderId="2" xfId="2" applyFont="1" applyBorder="1"/>
    <xf numFmtId="43" fontId="0" fillId="0" borderId="1" xfId="0" applyNumberFormat="1" applyBorder="1"/>
    <xf numFmtId="0" fontId="2" fillId="0" borderId="12" xfId="0" applyFont="1" applyBorder="1"/>
    <xf numFmtId="0" fontId="3" fillId="0" borderId="0" xfId="0" applyFont="1" applyAlignment="1">
      <alignment horizontal="left"/>
    </xf>
    <xf numFmtId="0" fontId="0" fillId="0" borderId="11" xfId="0" quotePrefix="1" applyBorder="1"/>
    <xf numFmtId="165" fontId="0" fillId="0" borderId="9" xfId="1" applyNumberFormat="1" applyFont="1" applyBorder="1"/>
    <xf numFmtId="165" fontId="6" fillId="0" borderId="9" xfId="1" applyNumberFormat="1" applyFont="1" applyBorder="1"/>
    <xf numFmtId="165" fontId="6" fillId="0" borderId="1" xfId="1" applyNumberFormat="1" applyFont="1" applyBorder="1"/>
    <xf numFmtId="165" fontId="0" fillId="0" borderId="8" xfId="1" applyNumberFormat="1" applyFont="1" applyBorder="1"/>
    <xf numFmtId="165" fontId="3" fillId="0" borderId="9" xfId="1" applyNumberFormat="1" applyFont="1" applyBorder="1"/>
    <xf numFmtId="165" fontId="3" fillId="0" borderId="1" xfId="1" applyNumberFormat="1" applyFont="1" applyBorder="1"/>
    <xf numFmtId="43" fontId="6" fillId="0" borderId="9" xfId="1" applyFont="1" applyBorder="1"/>
    <xf numFmtId="43" fontId="6" fillId="0" borderId="1" xfId="1" applyFont="1" applyBorder="1"/>
    <xf numFmtId="0" fontId="2" fillId="4" borderId="3" xfId="0" applyFont="1" applyFill="1" applyBorder="1"/>
    <xf numFmtId="168" fontId="2" fillId="4" borderId="7" xfId="0" applyNumberFormat="1" applyFont="1" applyFill="1" applyBorder="1"/>
    <xf numFmtId="167" fontId="2" fillId="4" borderId="5" xfId="0" applyNumberFormat="1" applyFont="1" applyFill="1" applyBorder="1"/>
    <xf numFmtId="167" fontId="2" fillId="4" borderId="6" xfId="0" applyNumberFormat="1" applyFont="1" applyFill="1" applyBorder="1"/>
    <xf numFmtId="0" fontId="2" fillId="4" borderId="1" xfId="0" applyFont="1" applyFill="1" applyBorder="1"/>
    <xf numFmtId="168" fontId="2" fillId="4" borderId="1" xfId="0" applyNumberFormat="1" applyFont="1" applyFill="1" applyBorder="1"/>
    <xf numFmtId="167" fontId="2" fillId="4" borderId="1" xfId="0" applyNumberFormat="1" applyFont="1" applyFill="1" applyBorder="1"/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9" fillId="5" borderId="1" xfId="0" applyFont="1" applyFill="1" applyBorder="1"/>
    <xf numFmtId="0" fontId="10" fillId="3" borderId="1" xfId="0" applyFont="1" applyFill="1" applyBorder="1" applyAlignment="1">
      <alignment horizontal="center"/>
    </xf>
    <xf numFmtId="164" fontId="2" fillId="4" borderId="1" xfId="0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FY&quot;\ ###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'P&amp;L'!$C$2:$H$2</c:f>
              <c:numCache>
                <c:formatCode>"FY"\ 00"E"</c:formatCode>
                <c:ptCount val="6"/>
                <c:pt idx="0" formatCode="&quot;FY&quot;\ ##&quot;A&quot;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</c:numCache>
            </c:numRef>
          </c:cat>
          <c:val>
            <c:numRef>
              <c:f>'P&amp;L'!$B$3:$H$3</c:f>
              <c:numCache>
                <c:formatCode>_ * #,##0_ ;_ * \-#,##0_ ;_ * "-"??_ ;_ @_ </c:formatCode>
                <c:ptCount val="7"/>
                <c:pt idx="0" formatCode="General">
                  <c:v>0</c:v>
                </c:pt>
                <c:pt idx="1">
                  <c:v>152913</c:v>
                </c:pt>
                <c:pt idx="2">
                  <c:v>172227.38669543149</c:v>
                </c:pt>
                <c:pt idx="3">
                  <c:v>192041.19157622324</c:v>
                </c:pt>
                <c:pt idx="4">
                  <c:v>211976.68938265103</c:v>
                </c:pt>
                <c:pt idx="5">
                  <c:v>231768.79370151277</c:v>
                </c:pt>
                <c:pt idx="6">
                  <c:v>250999.50018105132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D2-49E3-B888-B0201D564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5273808"/>
        <c:axId val="2352642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'P&amp;L'!$C$2:$H$2</c15:sqref>
                        </c15:formulaRef>
                      </c:ext>
                    </c:extLst>
                    <c:numCache>
                      <c:formatCode>"FY"\ 00"E"</c:formatCode>
                      <c:ptCount val="6"/>
                      <c:pt idx="0" formatCode="&quot;FY&quot;\ ##&quot;A&quot;">
                        <c:v>25</c:v>
                      </c:pt>
                      <c:pt idx="1">
                        <c:v>26</c:v>
                      </c:pt>
                      <c:pt idx="2">
                        <c:v>27</c:v>
                      </c:pt>
                      <c:pt idx="3">
                        <c:v>28</c:v>
                      </c:pt>
                      <c:pt idx="4">
                        <c:v>29</c:v>
                      </c:pt>
                      <c:pt idx="5">
                        <c:v>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'P&amp;L'!$C$2:$H$2</c15:sqref>
                        </c15:formulaRef>
                      </c:ext>
                    </c:extLst>
                    <c:numCache>
                      <c:formatCode>"FY"\ 00"E"</c:formatCode>
                      <c:ptCount val="6"/>
                      <c:pt idx="0" formatCode="&quot;FY&quot;\ ##&quot;A&quot;">
                        <c:v>25</c:v>
                      </c:pt>
                      <c:pt idx="1">
                        <c:v>26</c:v>
                      </c:pt>
                      <c:pt idx="2">
                        <c:v>27</c:v>
                      </c:pt>
                      <c:pt idx="3">
                        <c:v>28</c:v>
                      </c:pt>
                      <c:pt idx="4">
                        <c:v>29</c:v>
                      </c:pt>
                      <c:pt idx="5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ED2-49E3-B888-B0201D564BFE}"/>
                  </c:ext>
                </c:extLst>
              </c15:ser>
            </c15:filteredLineSeries>
          </c:ext>
        </c:extLst>
      </c:lineChart>
      <c:catAx>
        <c:axId val="235273808"/>
        <c:scaling>
          <c:orientation val="minMax"/>
        </c:scaling>
        <c:delete val="0"/>
        <c:axPos val="b"/>
        <c:numFmt formatCode="&quot;FY&quot;\ ##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64208"/>
        <c:crosses val="autoZero"/>
        <c:auto val="1"/>
        <c:lblAlgn val="ctr"/>
        <c:lblOffset val="100"/>
        <c:noMultiLvlLbl val="0"/>
      </c:catAx>
      <c:valAx>
        <c:axId val="235264208"/>
        <c:scaling>
          <c:orientation val="minMax"/>
        </c:scaling>
        <c:delete val="0"/>
        <c:axPos val="l"/>
        <c:numFmt formatCode="0&quot; Cr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7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'P&amp;L'!$B$7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'P&amp;L'!$C$2:$H$2</c:f>
              <c:numCache>
                <c:formatCode>"FY"\ 00"E"</c:formatCode>
                <c:ptCount val="6"/>
                <c:pt idx="0" formatCode="&quot;FY&quot;\ ##&quot;A&quot;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</c:numCache>
            </c:numRef>
          </c:cat>
          <c:val>
            <c:numRef>
              <c:f>'P&amp;L'!$C$7:$H$7</c:f>
              <c:numCache>
                <c:formatCode>_ * #,##0_ ;_ * \-#,##0_ ;_ * "-"??_ ;_ @_ </c:formatCode>
                <c:ptCount val="6"/>
                <c:pt idx="0">
                  <c:v>20224</c:v>
                </c:pt>
                <c:pt idx="1">
                  <c:v>39586.464831944933</c:v>
                </c:pt>
                <c:pt idx="2">
                  <c:v>45320.482546303014</c:v>
                </c:pt>
                <c:pt idx="3">
                  <c:v>51316.944946726609</c:v>
                </c:pt>
                <c:pt idx="4">
                  <c:v>57517.811222607241</c:v>
                </c:pt>
                <c:pt idx="5">
                  <c:v>63813.435227380018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AF-4406-84DE-41CEC5F7E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0328448"/>
        <c:axId val="4903289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'P&amp;L'!$B$2</c15:sqref>
                        </c15:formulaRef>
                      </c:ext>
                    </c:extLst>
                    <c:strCache>
                      <c:ptCount val="1"/>
                      <c:pt idx="0">
                        <c:v>Particulars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'P&amp;L'!$C$2:$H$2</c15:sqref>
                        </c15:formulaRef>
                      </c:ext>
                    </c:extLst>
                    <c:numCache>
                      <c:formatCode>"FY"\ 00"E"</c:formatCode>
                      <c:ptCount val="6"/>
                      <c:pt idx="0" formatCode="&quot;FY&quot;\ ##&quot;A&quot;">
                        <c:v>25</c:v>
                      </c:pt>
                      <c:pt idx="1">
                        <c:v>26</c:v>
                      </c:pt>
                      <c:pt idx="2">
                        <c:v>27</c:v>
                      </c:pt>
                      <c:pt idx="3">
                        <c:v>28</c:v>
                      </c:pt>
                      <c:pt idx="4">
                        <c:v>29</c:v>
                      </c:pt>
                      <c:pt idx="5">
                        <c:v>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'P&amp;L'!$C$2:$H$2</c15:sqref>
                        </c15:formulaRef>
                      </c:ext>
                    </c:extLst>
                    <c:numCache>
                      <c:formatCode>"FY"\ 00"E"</c:formatCode>
                      <c:ptCount val="6"/>
                      <c:pt idx="0" formatCode="&quot;FY&quot;\ ##&quot;A&quot;">
                        <c:v>25</c:v>
                      </c:pt>
                      <c:pt idx="1">
                        <c:v>26</c:v>
                      </c:pt>
                      <c:pt idx="2">
                        <c:v>27</c:v>
                      </c:pt>
                      <c:pt idx="3">
                        <c:v>28</c:v>
                      </c:pt>
                      <c:pt idx="4">
                        <c:v>29</c:v>
                      </c:pt>
                      <c:pt idx="5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FAF-4406-84DE-41CEC5F7E2B4}"/>
                  </c:ext>
                </c:extLst>
              </c15:ser>
            </c15:filteredLineSeries>
          </c:ext>
        </c:extLst>
      </c:lineChart>
      <c:catAx>
        <c:axId val="490328448"/>
        <c:scaling>
          <c:orientation val="minMax"/>
        </c:scaling>
        <c:delete val="0"/>
        <c:axPos val="b"/>
        <c:numFmt formatCode="&quot;FY&quot;\ ##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328928"/>
        <c:crosses val="autoZero"/>
        <c:auto val="1"/>
        <c:lblAlgn val="ctr"/>
        <c:lblOffset val="100"/>
        <c:noMultiLvlLbl val="0"/>
      </c:catAx>
      <c:valAx>
        <c:axId val="490328928"/>
        <c:scaling>
          <c:orientation val="minMax"/>
        </c:scaling>
        <c:delete val="0"/>
        <c:axPos val="l"/>
        <c:numFmt formatCode="0\ &quot;Cr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32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'P&amp;L'!$B$15</c:f>
              <c:strCache>
                <c:ptCount val="1"/>
                <c:pt idx="0">
                  <c:v>PAT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'P&amp;L'!$C$2:$H$2</c:f>
              <c:numCache>
                <c:formatCode>"FY"\ 00"E"</c:formatCode>
                <c:ptCount val="6"/>
                <c:pt idx="0" formatCode="&quot;FY&quot;\ ##&quot;A&quot;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</c:numCache>
            </c:numRef>
          </c:cat>
          <c:val>
            <c:numRef>
              <c:f>'P&amp;L'!$C$15:$H$15</c:f>
              <c:numCache>
                <c:formatCode>_ * #,##0_ ;_ * \-#,##0_ ;_ * "-"??_ ;_ @_ </c:formatCode>
                <c:ptCount val="6"/>
                <c:pt idx="0">
                  <c:v>14519.54</c:v>
                </c:pt>
                <c:pt idx="1">
                  <c:v>29043.995923850831</c:v>
                </c:pt>
                <c:pt idx="2">
                  <c:v>33270.207441316423</c:v>
                </c:pt>
                <c:pt idx="3">
                  <c:v>37692.796124860019</c:v>
                </c:pt>
                <c:pt idx="4">
                  <c:v>42269.225440574759</c:v>
                </c:pt>
                <c:pt idx="5">
                  <c:v>46918.828294856066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C4-4D4E-82FC-F3125AE4B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0338048"/>
        <c:axId val="4903394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'P&amp;L'!$B$2</c15:sqref>
                        </c15:formulaRef>
                      </c:ext>
                    </c:extLst>
                    <c:strCache>
                      <c:ptCount val="1"/>
                      <c:pt idx="0">
                        <c:v>Particulars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'P&amp;L'!$C$2:$H$2</c15:sqref>
                        </c15:formulaRef>
                      </c:ext>
                    </c:extLst>
                    <c:numCache>
                      <c:formatCode>"FY"\ 00"E"</c:formatCode>
                      <c:ptCount val="6"/>
                      <c:pt idx="0" formatCode="&quot;FY&quot;\ ##&quot;A&quot;">
                        <c:v>25</c:v>
                      </c:pt>
                      <c:pt idx="1">
                        <c:v>26</c:v>
                      </c:pt>
                      <c:pt idx="2">
                        <c:v>27</c:v>
                      </c:pt>
                      <c:pt idx="3">
                        <c:v>28</c:v>
                      </c:pt>
                      <c:pt idx="4">
                        <c:v>29</c:v>
                      </c:pt>
                      <c:pt idx="5">
                        <c:v>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'P&amp;L'!$C$2:$H$2</c15:sqref>
                        </c15:formulaRef>
                      </c:ext>
                    </c:extLst>
                    <c:numCache>
                      <c:formatCode>"FY"\ 00"E"</c:formatCode>
                      <c:ptCount val="6"/>
                      <c:pt idx="0" formatCode="&quot;FY&quot;\ ##&quot;A&quot;">
                        <c:v>25</c:v>
                      </c:pt>
                      <c:pt idx="1">
                        <c:v>26</c:v>
                      </c:pt>
                      <c:pt idx="2">
                        <c:v>27</c:v>
                      </c:pt>
                      <c:pt idx="3">
                        <c:v>28</c:v>
                      </c:pt>
                      <c:pt idx="4">
                        <c:v>29</c:v>
                      </c:pt>
                      <c:pt idx="5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FC4-4D4E-82FC-F3125AE4B6FD}"/>
                  </c:ext>
                </c:extLst>
              </c15:ser>
            </c15:filteredLineSeries>
          </c:ext>
        </c:extLst>
      </c:lineChart>
      <c:catAx>
        <c:axId val="490338048"/>
        <c:scaling>
          <c:orientation val="minMax"/>
        </c:scaling>
        <c:delete val="0"/>
        <c:axPos val="b"/>
        <c:numFmt formatCode="&quot;FY&quot;\ ##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339488"/>
        <c:crosses val="autoZero"/>
        <c:auto val="1"/>
        <c:lblAlgn val="ctr"/>
        <c:lblOffset val="100"/>
        <c:noMultiLvlLbl val="0"/>
      </c:catAx>
      <c:valAx>
        <c:axId val="490339488"/>
        <c:scaling>
          <c:orientation val="minMax"/>
        </c:scaling>
        <c:delete val="0"/>
        <c:axPos val="l"/>
        <c:numFmt formatCode="0\ \C\r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33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CAGR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FFFF00"/>
              </a:solidFill>
            </a:ln>
            <a:effectLst/>
          </c:spPr>
          <c:invertIfNegative val="0"/>
          <c:cat>
            <c:strRef>
              <c:f>Dashboard!$A$10:$A$12</c:f>
              <c:strCache>
                <c:ptCount val="3"/>
                <c:pt idx="0">
                  <c:v>Revenue CAGR</c:v>
                </c:pt>
                <c:pt idx="1">
                  <c:v>EBITDA CAGR</c:v>
                </c:pt>
                <c:pt idx="2">
                  <c:v>PAT CAGR</c:v>
                </c:pt>
              </c:strCache>
            </c:strRef>
          </c:cat>
          <c:val>
            <c:numRef>
              <c:f>Dashboard!$B$10:$B$12</c:f>
              <c:numCache>
                <c:formatCode>0%</c:formatCode>
                <c:ptCount val="3"/>
                <c:pt idx="0">
                  <c:v>0.10419477963491097</c:v>
                </c:pt>
                <c:pt idx="1">
                  <c:v>0.25837190525214493</c:v>
                </c:pt>
                <c:pt idx="2">
                  <c:v>0.13962855871154423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6-423B-87B9-F35E7D501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0291968"/>
        <c:axId val="490292448"/>
      </c:barChart>
      <c:catAx>
        <c:axId val="49029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292448"/>
        <c:crosses val="autoZero"/>
        <c:auto val="1"/>
        <c:lblAlgn val="ctr"/>
        <c:lblOffset val="100"/>
        <c:noMultiLvlLbl val="0"/>
      </c:catAx>
      <c:valAx>
        <c:axId val="49029244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29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177800</xdr:colOff>
      <xdr:row>0</xdr:row>
      <xdr:rowOff>76200</xdr:rowOff>
    </xdr:from>
    <xdr:to>
      <xdr:col>9</xdr:col>
      <xdr:colOff>82550</xdr:colOff>
      <xdr:row>10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A42941-3792-45F1-B0DC-E258DF211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273050</xdr:colOff>
      <xdr:row>0</xdr:row>
      <xdr:rowOff>76200</xdr:rowOff>
    </xdr:from>
    <xdr:to>
      <xdr:col>14</xdr:col>
      <xdr:colOff>584200</xdr:colOff>
      <xdr:row>10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22FE4E-B20E-435E-9E55-E9D096308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222250</xdr:colOff>
      <xdr:row>11</xdr:row>
      <xdr:rowOff>146050</xdr:rowOff>
    </xdr:from>
    <xdr:to>
      <xdr:col>9</xdr:col>
      <xdr:colOff>82550</xdr:colOff>
      <xdr:row>21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E2DCC2-6AD4-4A19-B62C-E49636708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298449</xdr:colOff>
      <xdr:row>11</xdr:row>
      <xdr:rowOff>152400</xdr:rowOff>
    </xdr:from>
    <xdr:to>
      <xdr:col>14</xdr:col>
      <xdr:colOff>596900</xdr:colOff>
      <xdr:row>21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810584-8692-7171-65D9-C0533BDA5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7E0A4-649A-4432-A477-7FB9F206A7E4}" name="Table1" displayName="Table1" ref="B3:G10" totalsRowShown="0" headerRowDxfId="9" dataDxfId="7" headerRowBorderDxfId="8" tableBorderDxfId="6" dataCellStyle="Comma">
  <tableColumns count="6">
    <tableColumn id="1" xr3:uid="{A077BC9F-566F-4E5E-ACD4-2C4CEC6A56C7}" name="Year" dataDxfId="5"/>
    <tableColumn id="2" xr3:uid="{30F0DBDC-DC40-4AE2-B39D-111560FAD987}" name="FY 21" dataDxfId="4" dataCellStyle="Comma"/>
    <tableColumn id="3" xr3:uid="{2E1E65E7-0271-4186-822E-443F56823CE4}" name="FY 22" dataDxfId="3" dataCellStyle="Comma"/>
    <tableColumn id="4" xr3:uid="{EC67FA70-2786-41B6-BE13-40920597252C}" name="FY 23" dataDxfId="2" dataCellStyle="Comma"/>
    <tableColumn id="5" xr3:uid="{9B307224-DDDA-4B5B-9937-E151E8832BFF}" name="FY 24" dataDxfId="1" dataCellStyle="Comma"/>
    <tableColumn id="6" xr3:uid="{B210EA62-7F06-4FA0-B72D-85A2547C91B3}" name="FY 25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1"/>
  <sheetViews>
    <sheetView tabSelected="1" zoomScale="90" zoomScaleNormal="90" workbookViewId="0">
      <selection activeCell="L12" sqref="L12"/>
    </sheetView>
  </sheetViews>
  <sheetFormatPr defaultRowHeight="14.5" x14ac:dyDescent="0.35"/>
  <cols>
    <col min="1" max="1" width="20.54296875" bestFit="1" customWidth="1"/>
    <col min="2" max="2" width="12.453125" bestFit="1" customWidth="1"/>
    <col min="10" max="10" width="19.6328125" bestFit="1" customWidth="1"/>
    <col min="16" max="16" width="16.08984375" bestFit="1" customWidth="1"/>
    <col min="17" max="17" width="10.36328125" bestFit="1" customWidth="1"/>
    <col min="18" max="18" width="12.81640625" bestFit="1" customWidth="1"/>
  </cols>
  <sheetData>
    <row r="1" spans="1:18 16384:16384" ht="18.5" x14ac:dyDescent="0.45">
      <c r="A1" s="59" t="s">
        <v>86</v>
      </c>
      <c r="B1" s="60" t="s">
        <v>87</v>
      </c>
      <c r="XFD1" t="s">
        <v>87</v>
      </c>
    </row>
    <row r="2" spans="1:18 16384:16384" x14ac:dyDescent="0.35">
      <c r="XFD2" t="s">
        <v>88</v>
      </c>
    </row>
    <row r="3" spans="1:18 16384:16384" x14ac:dyDescent="0.35">
      <c r="A3" s="3" t="s">
        <v>9</v>
      </c>
      <c r="J3" s="3" t="s">
        <v>30</v>
      </c>
      <c r="P3" s="7" t="s">
        <v>90</v>
      </c>
      <c r="Q3" s="7" t="s">
        <v>91</v>
      </c>
      <c r="R3" s="7" t="s">
        <v>92</v>
      </c>
      <c r="XFD3" t="s">
        <v>89</v>
      </c>
    </row>
    <row r="4" spans="1:18 16384:16384" x14ac:dyDescent="0.35">
      <c r="A4" s="7" t="s">
        <v>10</v>
      </c>
      <c r="B4" s="8">
        <v>26</v>
      </c>
      <c r="C4" s="8">
        <f>B4+1</f>
        <v>27</v>
      </c>
      <c r="D4" s="8">
        <f t="shared" ref="D4:F4" si="0">C4+1</f>
        <v>28</v>
      </c>
      <c r="E4" s="8">
        <f t="shared" si="0"/>
        <v>29</v>
      </c>
      <c r="F4" s="8">
        <f t="shared" si="0"/>
        <v>30</v>
      </c>
      <c r="J4" s="7" t="s">
        <v>10</v>
      </c>
      <c r="K4" s="7" t="s">
        <v>11</v>
      </c>
      <c r="P4" s="56" t="s">
        <v>93</v>
      </c>
      <c r="Q4" s="57">
        <v>0.03</v>
      </c>
      <c r="R4" s="57">
        <v>-0.03</v>
      </c>
    </row>
    <row r="5" spans="1:18 16384:16384" x14ac:dyDescent="0.35">
      <c r="A5" s="4" t="s">
        <v>12</v>
      </c>
      <c r="B5" s="6">
        <v>7.0000000000000007E-2</v>
      </c>
      <c r="C5" s="6">
        <v>6.5000000000000002E-2</v>
      </c>
      <c r="D5" s="6">
        <v>0.06</v>
      </c>
      <c r="E5" s="6">
        <v>5.5E-2</v>
      </c>
      <c r="F5" s="6">
        <v>0.05</v>
      </c>
      <c r="J5" s="4" t="s">
        <v>28</v>
      </c>
      <c r="K5" s="6">
        <v>0.85</v>
      </c>
      <c r="L5" t="s">
        <v>81</v>
      </c>
      <c r="P5" s="56" t="s">
        <v>94</v>
      </c>
      <c r="Q5" s="58">
        <v>1.4999999999999999E-2</v>
      </c>
      <c r="R5" s="58">
        <v>-1.4999999999999999E-2</v>
      </c>
    </row>
    <row r="6" spans="1:18 16384:16384" x14ac:dyDescent="0.35">
      <c r="A6" s="4" t="s">
        <v>13</v>
      </c>
      <c r="B6" s="6">
        <v>0.1</v>
      </c>
      <c r="C6" s="6">
        <v>0.09</v>
      </c>
      <c r="D6" s="6">
        <v>0.08</v>
      </c>
      <c r="E6" s="6">
        <v>7.0000000000000007E-2</v>
      </c>
      <c r="F6" s="6">
        <v>0.06</v>
      </c>
      <c r="J6" s="4" t="s">
        <v>29</v>
      </c>
      <c r="K6" s="6">
        <v>0.15</v>
      </c>
      <c r="L6" t="s">
        <v>81</v>
      </c>
      <c r="P6" s="56" t="s">
        <v>95</v>
      </c>
      <c r="Q6" s="57">
        <v>-0.02</v>
      </c>
      <c r="R6" s="57">
        <v>0.02</v>
      </c>
    </row>
    <row r="7" spans="1:18 16384:16384" x14ac:dyDescent="0.35">
      <c r="P7" s="56" t="s">
        <v>18</v>
      </c>
      <c r="Q7" s="58">
        <v>-5.0000000000000001E-3</v>
      </c>
      <c r="R7" s="58">
        <v>5.0000000000000001E-3</v>
      </c>
    </row>
    <row r="8" spans="1:18 16384:16384" x14ac:dyDescent="0.35">
      <c r="A8" s="3" t="s">
        <v>14</v>
      </c>
      <c r="J8" s="3" t="s">
        <v>35</v>
      </c>
      <c r="P8" s="56" t="s">
        <v>19</v>
      </c>
      <c r="Q8" s="57">
        <v>-0.01</v>
      </c>
      <c r="R8" s="57">
        <v>0.01</v>
      </c>
    </row>
    <row r="9" spans="1:18 16384:16384" x14ac:dyDescent="0.35">
      <c r="A9" s="9" t="s">
        <v>15</v>
      </c>
      <c r="B9" s="8">
        <v>26</v>
      </c>
      <c r="C9" s="8">
        <f>B9+1</f>
        <v>27</v>
      </c>
      <c r="D9" s="8">
        <f t="shared" ref="D9:F9" si="1">C9+1</f>
        <v>28</v>
      </c>
      <c r="E9" s="8">
        <f t="shared" si="1"/>
        <v>29</v>
      </c>
      <c r="F9" s="8">
        <f t="shared" si="1"/>
        <v>30</v>
      </c>
      <c r="J9" s="7" t="s">
        <v>15</v>
      </c>
      <c r="K9" s="7" t="s">
        <v>11</v>
      </c>
      <c r="P9" s="56" t="s">
        <v>23</v>
      </c>
      <c r="Q9" s="56">
        <v>-3</v>
      </c>
      <c r="R9" s="56">
        <v>4</v>
      </c>
    </row>
    <row r="10" spans="1:18 16384:16384" x14ac:dyDescent="0.35">
      <c r="A10" s="4" t="s">
        <v>42</v>
      </c>
      <c r="B10" s="6">
        <v>0.05</v>
      </c>
      <c r="C10" s="10">
        <v>4.4999999999999998E-2</v>
      </c>
      <c r="D10" s="6">
        <v>0.04</v>
      </c>
      <c r="E10" s="10">
        <v>3.5000000000000003E-2</v>
      </c>
      <c r="F10" s="6">
        <v>0.03</v>
      </c>
      <c r="J10" s="4" t="s">
        <v>36</v>
      </c>
      <c r="K10" s="6">
        <v>0.1</v>
      </c>
      <c r="P10" s="56" t="s">
        <v>22</v>
      </c>
      <c r="Q10" s="56">
        <v>-3</v>
      </c>
      <c r="R10" s="56">
        <v>5</v>
      </c>
    </row>
    <row r="11" spans="1:18 16384:16384" x14ac:dyDescent="0.35">
      <c r="A11" s="4" t="s">
        <v>43</v>
      </c>
      <c r="B11" s="6">
        <v>0.04</v>
      </c>
      <c r="C11" s="10">
        <v>3.5000000000000003E-2</v>
      </c>
      <c r="D11" s="6">
        <v>0.03</v>
      </c>
      <c r="E11" s="6">
        <v>0.03</v>
      </c>
      <c r="F11" s="6">
        <v>0.03</v>
      </c>
      <c r="P11" s="56" t="s">
        <v>21</v>
      </c>
      <c r="Q11" s="56">
        <v>4</v>
      </c>
      <c r="R11" s="56">
        <v>-4</v>
      </c>
    </row>
    <row r="13" spans="1:18 16384:16384" x14ac:dyDescent="0.35">
      <c r="A13" s="3" t="s">
        <v>16</v>
      </c>
    </row>
    <row r="14" spans="1:18 16384:16384" x14ac:dyDescent="0.35">
      <c r="A14" s="7" t="s">
        <v>15</v>
      </c>
      <c r="B14" s="8">
        <v>26</v>
      </c>
      <c r="C14" s="8">
        <f>B14+1</f>
        <v>27</v>
      </c>
      <c r="D14" s="8">
        <f t="shared" ref="D14:F14" si="2">C14+1</f>
        <v>28</v>
      </c>
      <c r="E14" s="8">
        <f t="shared" si="2"/>
        <v>29</v>
      </c>
      <c r="F14" s="8">
        <f t="shared" si="2"/>
        <v>30</v>
      </c>
    </row>
    <row r="15" spans="1:18 16384:16384" x14ac:dyDescent="0.35">
      <c r="A15" s="4" t="s">
        <v>17</v>
      </c>
      <c r="B15" s="6">
        <v>0.73</v>
      </c>
      <c r="C15" s="10">
        <v>0.72499999999999998</v>
      </c>
      <c r="D15" s="6">
        <v>0.72</v>
      </c>
      <c r="E15" s="10">
        <v>0.71499999999999997</v>
      </c>
      <c r="F15" s="6">
        <v>0.71</v>
      </c>
    </row>
    <row r="16" spans="1:18 16384:16384" x14ac:dyDescent="0.35">
      <c r="A16" s="4" t="s">
        <v>18</v>
      </c>
      <c r="B16" s="6">
        <v>0.05</v>
      </c>
      <c r="C16" s="10">
        <v>4.9000000000000002E-2</v>
      </c>
      <c r="D16" s="10">
        <v>4.8000000000000001E-2</v>
      </c>
      <c r="E16" s="10">
        <v>4.7E-2</v>
      </c>
      <c r="F16" s="10">
        <v>4.5999999999999999E-2</v>
      </c>
    </row>
    <row r="17" spans="1:6" x14ac:dyDescent="0.35">
      <c r="A17" s="4" t="s">
        <v>19</v>
      </c>
      <c r="B17" s="6">
        <v>0.1</v>
      </c>
      <c r="C17" s="10">
        <v>9.8000000000000004E-2</v>
      </c>
      <c r="D17" s="10">
        <v>9.7000000000000003E-2</v>
      </c>
      <c r="E17" s="10">
        <v>9.6000000000000002E-2</v>
      </c>
      <c r="F17" s="10">
        <v>9.5000000000000001E-2</v>
      </c>
    </row>
    <row r="19" spans="1:6" x14ac:dyDescent="0.35">
      <c r="A19" s="3" t="s">
        <v>20</v>
      </c>
    </row>
    <row r="20" spans="1:6" x14ac:dyDescent="0.35">
      <c r="A20" s="7" t="s">
        <v>15</v>
      </c>
      <c r="B20" s="7" t="s">
        <v>11</v>
      </c>
    </row>
    <row r="21" spans="1:6" x14ac:dyDescent="0.35">
      <c r="A21" s="4" t="s">
        <v>23</v>
      </c>
      <c r="B21" s="29">
        <v>20</v>
      </c>
      <c r="C21" t="s">
        <v>82</v>
      </c>
    </row>
    <row r="22" spans="1:6" x14ac:dyDescent="0.35">
      <c r="A22" s="4" t="s">
        <v>22</v>
      </c>
      <c r="B22" s="29">
        <v>30</v>
      </c>
      <c r="C22" t="s">
        <v>83</v>
      </c>
    </row>
    <row r="23" spans="1:6" x14ac:dyDescent="0.35">
      <c r="A23" s="4" t="s">
        <v>21</v>
      </c>
      <c r="B23" s="29">
        <v>45</v>
      </c>
      <c r="C23" t="s">
        <v>84</v>
      </c>
    </row>
    <row r="25" spans="1:6" x14ac:dyDescent="0.35">
      <c r="A25" s="7" t="s">
        <v>15</v>
      </c>
      <c r="B25" s="7" t="s">
        <v>11</v>
      </c>
    </row>
    <row r="26" spans="1:6" x14ac:dyDescent="0.35">
      <c r="A26" s="4" t="s">
        <v>54</v>
      </c>
      <c r="B26" s="6">
        <v>0.03</v>
      </c>
    </row>
    <row r="27" spans="1:6" x14ac:dyDescent="0.35">
      <c r="A27" s="4" t="s">
        <v>56</v>
      </c>
      <c r="B27" s="10">
        <v>5.0000000000000001E-3</v>
      </c>
    </row>
    <row r="28" spans="1:6" x14ac:dyDescent="0.35">
      <c r="A28" s="4" t="s">
        <v>57</v>
      </c>
      <c r="B28" s="6">
        <v>0.25</v>
      </c>
      <c r="C28" t="s">
        <v>85</v>
      </c>
    </row>
    <row r="29" spans="1:6" x14ac:dyDescent="0.35">
      <c r="A29" s="4" t="s">
        <v>55</v>
      </c>
      <c r="B29" s="6">
        <v>0.03</v>
      </c>
    </row>
    <row r="30" spans="1:6" x14ac:dyDescent="0.35">
      <c r="A30" s="4" t="s">
        <v>75</v>
      </c>
      <c r="B30" s="6">
        <v>0.04</v>
      </c>
    </row>
    <row r="31" spans="1:6" x14ac:dyDescent="0.35">
      <c r="A31" s="4" t="s">
        <v>74</v>
      </c>
      <c r="B31" s="6">
        <v>0.25</v>
      </c>
    </row>
  </sheetData>
  <dataValidations count="1">
    <dataValidation type="list" allowBlank="1" showInputMessage="1" showErrorMessage="1" sqref="B1" xr:uid="{FE3F1E69-4B19-4891-B17E-E67CDC7061AB}">
      <formula1>$XFD$1:$XFD$3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958E-4578-4FB8-A3CD-82C7829B5E70}">
  <dimension ref="B2:G10"/>
  <sheetViews>
    <sheetView workbookViewId="0">
      <selection activeCell="C4" sqref="C4"/>
    </sheetView>
  </sheetViews>
  <sheetFormatPr defaultRowHeight="14.5" x14ac:dyDescent="0.35"/>
  <cols>
    <col min="2" max="2" width="16.453125" bestFit="1" customWidth="1"/>
    <col min="3" max="4" width="12.1796875" bestFit="1" customWidth="1"/>
    <col min="5" max="7" width="13.26953125" bestFit="1" customWidth="1"/>
  </cols>
  <sheetData>
    <row r="2" spans="2:7" x14ac:dyDescent="0.35">
      <c r="G2" s="1" t="s">
        <v>8</v>
      </c>
    </row>
    <row r="3" spans="2:7" ht="15" thickBot="1" x14ac:dyDescent="0.4">
      <c r="B3" s="32" t="s">
        <v>0</v>
      </c>
      <c r="C3" s="33" t="s">
        <v>1</v>
      </c>
      <c r="D3" s="33" t="s">
        <v>65</v>
      </c>
      <c r="E3" s="33" t="s">
        <v>66</v>
      </c>
      <c r="F3" s="33" t="s">
        <v>2</v>
      </c>
      <c r="G3" s="34" t="s">
        <v>67</v>
      </c>
    </row>
    <row r="4" spans="2:7" x14ac:dyDescent="0.35">
      <c r="B4" s="13" t="s">
        <v>3</v>
      </c>
      <c r="C4" s="31">
        <v>70372</v>
      </c>
      <c r="D4" s="31">
        <v>88330</v>
      </c>
      <c r="E4" s="31">
        <v>117571</v>
      </c>
      <c r="F4" s="31">
        <v>141858</v>
      </c>
      <c r="G4" s="31">
        <v>152913</v>
      </c>
    </row>
    <row r="5" spans="2:7" x14ac:dyDescent="0.35">
      <c r="B5" s="4" t="s">
        <v>4</v>
      </c>
      <c r="C5" s="30">
        <v>5411</v>
      </c>
      <c r="D5" s="30">
        <v>5752</v>
      </c>
      <c r="E5" s="30">
        <v>11029</v>
      </c>
      <c r="F5" s="30">
        <v>18626</v>
      </c>
      <c r="G5" s="30">
        <v>20224</v>
      </c>
    </row>
    <row r="6" spans="2:7" x14ac:dyDescent="0.35">
      <c r="B6" s="4" t="s">
        <v>5</v>
      </c>
      <c r="C6" s="5">
        <f>C5/C4</f>
        <v>7.6891377252316262E-2</v>
      </c>
      <c r="D6" s="5">
        <f t="shared" ref="D6:G6" si="0">D5/D4</f>
        <v>6.5119438469376206E-2</v>
      </c>
      <c r="E6" s="5">
        <f t="shared" si="0"/>
        <v>9.3807146320095944E-2</v>
      </c>
      <c r="F6" s="5">
        <f t="shared" si="0"/>
        <v>0.13130031439890594</v>
      </c>
      <c r="G6" s="5">
        <f t="shared" si="0"/>
        <v>0.13225821218601427</v>
      </c>
    </row>
    <row r="7" spans="2:7" x14ac:dyDescent="0.35">
      <c r="B7" s="4" t="s">
        <v>6</v>
      </c>
      <c r="C7" s="30">
        <v>4389</v>
      </c>
      <c r="D7" s="30">
        <v>3880</v>
      </c>
      <c r="E7" s="30">
        <v>8211</v>
      </c>
      <c r="F7" s="30">
        <v>13488</v>
      </c>
      <c r="G7" s="30">
        <v>14500</v>
      </c>
    </row>
    <row r="8" spans="2:7" x14ac:dyDescent="0.35">
      <c r="B8" s="4" t="s">
        <v>7</v>
      </c>
      <c r="C8" s="30">
        <v>1457861</v>
      </c>
      <c r="D8" s="30">
        <v>1652653</v>
      </c>
      <c r="E8" s="30">
        <v>1966164</v>
      </c>
      <c r="F8" s="30">
        <v>2135323</v>
      </c>
      <c r="G8" s="30">
        <v>2234266</v>
      </c>
    </row>
    <row r="9" spans="2:7" x14ac:dyDescent="0.35">
      <c r="B9" s="4" t="s">
        <v>55</v>
      </c>
      <c r="C9" s="30">
        <v>3046</v>
      </c>
      <c r="D9" s="30">
        <v>1861</v>
      </c>
      <c r="E9" s="30">
        <v>2307</v>
      </c>
      <c r="F9" s="30">
        <v>4248</v>
      </c>
      <c r="G9" s="30">
        <v>5199</v>
      </c>
    </row>
    <row r="10" spans="2:7" x14ac:dyDescent="0.35">
      <c r="B10" s="35" t="s">
        <v>58</v>
      </c>
      <c r="C10" s="36">
        <f>C9/C4</f>
        <v>4.3284260785539701E-2</v>
      </c>
      <c r="D10" s="36">
        <f t="shared" ref="D10:G10" si="1">D9/D4</f>
        <v>2.1068719574323561E-2</v>
      </c>
      <c r="E10" s="36">
        <f t="shared" si="1"/>
        <v>1.9622185743082905E-2</v>
      </c>
      <c r="F10" s="36">
        <f t="shared" si="1"/>
        <v>2.994543839614262E-2</v>
      </c>
      <c r="G10" s="36">
        <f t="shared" si="1"/>
        <v>3.3999725334013457E-2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1D7BA-8DA3-4B51-AF3A-36B07F79C5FE}">
  <dimension ref="B2:H24"/>
  <sheetViews>
    <sheetView zoomScaleNormal="100" workbookViewId="0">
      <selection activeCell="E9" sqref="E9"/>
    </sheetView>
  </sheetViews>
  <sheetFormatPr defaultRowHeight="14.5" x14ac:dyDescent="0.35"/>
  <cols>
    <col min="2" max="2" width="18.1796875" bestFit="1" customWidth="1"/>
    <col min="3" max="3" width="13.36328125" bestFit="1" customWidth="1"/>
    <col min="4" max="8" width="11.90625" bestFit="1" customWidth="1"/>
  </cols>
  <sheetData>
    <row r="2" spans="2:8" x14ac:dyDescent="0.35">
      <c r="C2" s="2" t="s">
        <v>32</v>
      </c>
    </row>
    <row r="3" spans="2:8" x14ac:dyDescent="0.35">
      <c r="B3" s="53" t="s">
        <v>24</v>
      </c>
      <c r="C3" s="61" t="str">
        <f>Historical!G3</f>
        <v>FY 25</v>
      </c>
    </row>
    <row r="4" spans="2:8" x14ac:dyDescent="0.35">
      <c r="B4" s="4" t="s">
        <v>25</v>
      </c>
      <c r="C4" s="30">
        <f>Historical!G8</f>
        <v>2234266</v>
      </c>
    </row>
    <row r="5" spans="2:8" x14ac:dyDescent="0.35">
      <c r="B5" s="4" t="s">
        <v>26</v>
      </c>
      <c r="C5" s="19">
        <f>C4*Assumptions!K5</f>
        <v>1899126.0999999999</v>
      </c>
    </row>
    <row r="6" spans="2:8" x14ac:dyDescent="0.35">
      <c r="B6" s="4" t="s">
        <v>27</v>
      </c>
      <c r="C6" s="19">
        <f>C4*Assumptions!K6</f>
        <v>335139.89999999997</v>
      </c>
    </row>
    <row r="7" spans="2:8" x14ac:dyDescent="0.35">
      <c r="B7" s="4" t="s">
        <v>3</v>
      </c>
      <c r="C7" s="4">
        <f>Historical!G4</f>
        <v>152913</v>
      </c>
    </row>
    <row r="8" spans="2:8" x14ac:dyDescent="0.35">
      <c r="B8" s="4" t="s">
        <v>31</v>
      </c>
      <c r="C8" s="37">
        <f>C7/C4</f>
        <v>6.8439926132340553E-2</v>
      </c>
    </row>
    <row r="9" spans="2:8" x14ac:dyDescent="0.35">
      <c r="B9" s="4" t="s">
        <v>33</v>
      </c>
      <c r="C9" s="21">
        <f>C7/(Revenue!C5+Revenue!C6*(1-Assumptions!K10))</f>
        <v>6.9482158509990413E-2</v>
      </c>
    </row>
    <row r="10" spans="2:8" x14ac:dyDescent="0.35">
      <c r="B10" s="4" t="s">
        <v>34</v>
      </c>
      <c r="C10" s="21">
        <f>C9*(1-Assumptions!K10)</f>
        <v>6.2533942658991371E-2</v>
      </c>
    </row>
    <row r="11" spans="2:8" x14ac:dyDescent="0.35">
      <c r="B11" s="4" t="s">
        <v>37</v>
      </c>
      <c r="C11" s="21">
        <f>C9*C5</f>
        <v>131955.3807106599</v>
      </c>
    </row>
    <row r="12" spans="2:8" x14ac:dyDescent="0.35">
      <c r="B12" s="4" t="s">
        <v>38</v>
      </c>
      <c r="C12" s="37">
        <f>C6*C10</f>
        <v>20957.619289340098</v>
      </c>
    </row>
    <row r="13" spans="2:8" x14ac:dyDescent="0.35">
      <c r="B13" s="4" t="s">
        <v>39</v>
      </c>
      <c r="C13" s="11">
        <f>SUM(C11:C12)</f>
        <v>152913</v>
      </c>
    </row>
    <row r="14" spans="2:8" ht="15" thickBot="1" x14ac:dyDescent="0.4">
      <c r="H14" s="39" t="s">
        <v>8</v>
      </c>
    </row>
    <row r="15" spans="2:8" ht="15" thickBot="1" x14ac:dyDescent="0.4">
      <c r="B15" s="49" t="s">
        <v>40</v>
      </c>
      <c r="C15" s="50">
        <v>25</v>
      </c>
      <c r="D15" s="51">
        <f>C15+1</f>
        <v>26</v>
      </c>
      <c r="E15" s="51">
        <f t="shared" ref="E15:H15" si="0">D15+1</f>
        <v>27</v>
      </c>
      <c r="F15" s="51">
        <f t="shared" si="0"/>
        <v>28</v>
      </c>
      <c r="G15" s="51">
        <f t="shared" si="0"/>
        <v>29</v>
      </c>
      <c r="H15" s="52">
        <f t="shared" si="0"/>
        <v>30</v>
      </c>
    </row>
    <row r="16" spans="2:8" x14ac:dyDescent="0.35">
      <c r="B16" s="15" t="s">
        <v>26</v>
      </c>
      <c r="C16" s="23">
        <f>C5</f>
        <v>1899126.0999999999</v>
      </c>
      <c r="D16" s="22">
        <f>C16*(1+IF(Assumptions!$B$1="Base",Assumptions!B5,IF(Assumptions!$B$1="Upside",Assumptions!B5+Assumptions!$Q$4,Assumptions!B5+Assumptions!$R$4)))</f>
        <v>2032064.9269999999</v>
      </c>
      <c r="E16" s="22">
        <f>D16*(1+IF(Assumptions!$B$1="Base",Assumptions!C5,IF(Assumptions!$B$1="Upside",Assumptions!C5+Assumptions!$Q$4,Assumptions!C5+Assumptions!$R$4)))</f>
        <v>2164149.1472549997</v>
      </c>
      <c r="F16" s="22">
        <f>E16*(1+IF(Assumptions!$B$1="Base",Assumptions!D5,IF(Assumptions!$B$1="Upside",Assumptions!D5+Assumptions!$Q$4,Assumptions!D5+Assumptions!$R$4)))</f>
        <v>2293998.0960903</v>
      </c>
      <c r="G16" s="22">
        <f>F16*(1+IF(Assumptions!$B$1="Base",Assumptions!E5,IF(Assumptions!$B$1="Upside",Assumptions!E5+Assumptions!$Q$4,Assumptions!E5+Assumptions!$R$4)))</f>
        <v>2420167.9913752666</v>
      </c>
      <c r="H16" s="22">
        <f>G16*(1+IF(Assumptions!$B$1="Base",Assumptions!F5,IF(Assumptions!$B$1="Upside",Assumptions!F5+Assumptions!$Q$4,Assumptions!F5+Assumptions!$R$4)))</f>
        <v>2541176.3909440301</v>
      </c>
    </row>
    <row r="17" spans="2:8" x14ac:dyDescent="0.35">
      <c r="B17" s="16" t="s">
        <v>27</v>
      </c>
      <c r="C17" s="24">
        <f>C6</f>
        <v>335139.89999999997</v>
      </c>
      <c r="D17" s="22">
        <f>C17*(1+IF(Assumptions!$B$1="Base",Assumptions!B6,IF(Assumptions!$B$1="Upside",Assumptions!B6+Assumptions!$Q$4,Assumptions!B6+Assumptions!$R$4)))</f>
        <v>368653.89</v>
      </c>
      <c r="E17" s="22">
        <f>D17*(1+IF(Assumptions!$B$1="Base",Assumptions!C6,IF(Assumptions!$B$1="Upside",Assumptions!C6+Assumptions!$Q$4,Assumptions!C6+Assumptions!$R$4)))</f>
        <v>401832.74010000005</v>
      </c>
      <c r="F17" s="22">
        <f>E17*(1+IF(Assumptions!$B$1="Base",Assumptions!D6,IF(Assumptions!$B$1="Upside",Assumptions!D6+Assumptions!$Q$4,Assumptions!D6+Assumptions!$R$4)))</f>
        <v>433979.35930800007</v>
      </c>
      <c r="G17" s="22">
        <f>F17*(1+IF(Assumptions!$B$1="Base",Assumptions!E6,IF(Assumptions!$B$1="Upside",Assumptions!E6+Assumptions!$Q$4,Assumptions!E6+Assumptions!$R$4)))</f>
        <v>464357.91445956012</v>
      </c>
      <c r="H17" s="22">
        <f>G17*(1+IF(Assumptions!$B$1="Base",Assumptions!F6,IF(Assumptions!$B$1="Upside",Assumptions!F6+Assumptions!$Q$4,Assumptions!F6+Assumptions!$R$4)))</f>
        <v>492219.38932713377</v>
      </c>
    </row>
    <row r="18" spans="2:8" x14ac:dyDescent="0.35">
      <c r="B18" s="17" t="s">
        <v>25</v>
      </c>
      <c r="C18" s="25">
        <f>SUM(C16:C17)</f>
        <v>2234266</v>
      </c>
      <c r="D18" s="20">
        <f>SUM(D16:D17)</f>
        <v>2400718.8169999998</v>
      </c>
      <c r="E18" s="20">
        <f t="shared" ref="E18:H18" si="1">SUM(E16:E17)</f>
        <v>2565981.8873549998</v>
      </c>
      <c r="F18" s="20">
        <f t="shared" si="1"/>
        <v>2727977.4553983002</v>
      </c>
      <c r="G18" s="20">
        <f t="shared" si="1"/>
        <v>2884525.9058348266</v>
      </c>
      <c r="H18" s="20">
        <f t="shared" si="1"/>
        <v>3033395.7802711641</v>
      </c>
    </row>
    <row r="19" spans="2:8" x14ac:dyDescent="0.35">
      <c r="B19" s="17" t="s">
        <v>41</v>
      </c>
      <c r="C19" s="26"/>
      <c r="D19" s="12">
        <f>D18/C18-1</f>
        <v>7.4500000000000011E-2</v>
      </c>
      <c r="E19" s="12">
        <f t="shared" ref="E19:H19" si="2">E18/D18-1</f>
        <v>6.8838994881340154E-2</v>
      </c>
      <c r="F19" s="12">
        <f t="shared" si="2"/>
        <v>6.3131999817147788E-2</v>
      </c>
      <c r="G19" s="12">
        <f t="shared" si="2"/>
        <v>5.7386269863315187E-2</v>
      </c>
      <c r="H19" s="12">
        <f t="shared" si="2"/>
        <v>5.1609824039091867E-2</v>
      </c>
    </row>
    <row r="20" spans="2:8" x14ac:dyDescent="0.35">
      <c r="B20" s="16" t="s">
        <v>33</v>
      </c>
      <c r="C20" s="27">
        <f>C9</f>
        <v>6.9482158509990413E-2</v>
      </c>
      <c r="D20" s="21">
        <f>C20*(1+IF(Assumptions!$B$1="Base",Assumptions!B10,IF(Assumptions!$B$1="Upside",Assumptions!B10+Assumptions!$Q$4,Assumptions!B10+Assumptions!$R$4)))</f>
        <v>7.2956266435489942E-2</v>
      </c>
      <c r="E20" s="21">
        <f>D20*(1+IF(Assumptions!$B$1="Base",Assumptions!C10,IF(Assumptions!$B$1="Upside",Assumptions!C10+Assumptions!$Q$4,Assumptions!C10+Assumptions!$R$4)))</f>
        <v>7.623929842508699E-2</v>
      </c>
      <c r="F20" s="21">
        <f>E20*(1+IF(Assumptions!$B$1="Base",Assumptions!D10,IF(Assumptions!$B$1="Upside",Assumptions!D10+Assumptions!$Q$4,Assumptions!D10+Assumptions!$R$4)))</f>
        <v>7.9288870362090466E-2</v>
      </c>
      <c r="G20" s="21">
        <f>F20*(1+IF(Assumptions!$B$1="Base",Assumptions!E10,IF(Assumptions!$B$1="Upside",Assumptions!E10+Assumptions!$Q$4,Assumptions!E10+Assumptions!$R$4)))</f>
        <v>8.2063980824763627E-2</v>
      </c>
      <c r="H20" s="21">
        <f>G20*(1+IF(Assumptions!$B$1="Base",Assumptions!F10,IF(Assumptions!$B$1="Upside",Assumptions!F10+Assumptions!$Q$4,Assumptions!F10+Assumptions!$R$4)))</f>
        <v>8.4525900249506541E-2</v>
      </c>
    </row>
    <row r="21" spans="2:8" x14ac:dyDescent="0.35">
      <c r="B21" s="16" t="s">
        <v>34</v>
      </c>
      <c r="C21" s="27">
        <f>C10</f>
        <v>6.2533942658991371E-2</v>
      </c>
      <c r="D21" s="21">
        <f>C21*(1+IF(Assumptions!$B$1="Base",Assumptions!B11,IF(Assumptions!$B$1="Upside",Assumptions!B11+Assumptions!$Q$4,Assumptions!B11+Assumptions!$R$4)))</f>
        <v>6.5035300365351031E-2</v>
      </c>
      <c r="E21" s="21">
        <f>D21*(1+IF(Assumptions!$B$1="Base",Assumptions!C11,IF(Assumptions!$B$1="Upside",Assumptions!C11+Assumptions!$Q$4,Assumptions!C11+Assumptions!$R$4)))</f>
        <v>6.7311535878138318E-2</v>
      </c>
      <c r="F21" s="21">
        <f>E21*(1+IF(Assumptions!$B$1="Base",Assumptions!D11,IF(Assumptions!$B$1="Upside",Assumptions!D11+Assumptions!$Q$4,Assumptions!D11+Assumptions!$R$4)))</f>
        <v>6.9330881954482462E-2</v>
      </c>
      <c r="G21" s="21">
        <f>F21*(1+IF(Assumptions!$B$1="Base",Assumptions!E11,IF(Assumptions!$B$1="Upside",Assumptions!E11+Assumptions!$Q$4,Assumptions!E11+Assumptions!$R$4)))</f>
        <v>7.1410808413116936E-2</v>
      </c>
      <c r="H21" s="21">
        <f>G21*(1+IF(Assumptions!$B$1="Base",Assumptions!F11,IF(Assumptions!$B$1="Upside",Assumptions!F11+Assumptions!$Q$4,Assumptions!F11+Assumptions!$R$4)))</f>
        <v>7.3553132665510446E-2</v>
      </c>
    </row>
    <row r="22" spans="2:8" x14ac:dyDescent="0.35">
      <c r="B22" s="16" t="s">
        <v>37</v>
      </c>
      <c r="C22" s="14">
        <f>C11</f>
        <v>131955.3807106599</v>
      </c>
      <c r="D22" s="19">
        <f>D16*D20</f>
        <v>148251.87022842641</v>
      </c>
      <c r="E22" s="19">
        <f t="shared" ref="E22:H22" si="3">E16*E20</f>
        <v>164993.21267397146</v>
      </c>
      <c r="F22" s="19">
        <f t="shared" si="3"/>
        <v>181888.51765178615</v>
      </c>
      <c r="G22" s="19">
        <f t="shared" si="3"/>
        <v>198608.61963692657</v>
      </c>
      <c r="H22" s="19">
        <f t="shared" si="3"/>
        <v>214795.22213733612</v>
      </c>
    </row>
    <row r="23" spans="2:8" x14ac:dyDescent="0.35">
      <c r="B23" s="16" t="s">
        <v>38</v>
      </c>
      <c r="C23" s="41">
        <f>C12</f>
        <v>20957.619289340098</v>
      </c>
      <c r="D23" s="30">
        <f>D17*D21</f>
        <v>23975.51646700508</v>
      </c>
      <c r="E23" s="30">
        <f t="shared" ref="E23:H23" si="4">E17*E21</f>
        <v>27047.978902251783</v>
      </c>
      <c r="F23" s="30">
        <f t="shared" si="4"/>
        <v>30088.171730864884</v>
      </c>
      <c r="G23" s="30">
        <f t="shared" si="4"/>
        <v>33160.174064586194</v>
      </c>
      <c r="H23" s="30">
        <f t="shared" si="4"/>
        <v>36204.278043715203</v>
      </c>
    </row>
    <row r="24" spans="2:8" ht="15" thickBot="1" x14ac:dyDescent="0.4">
      <c r="B24" s="28" t="s">
        <v>44</v>
      </c>
      <c r="C24" s="42">
        <f>C22+C23</f>
        <v>152913</v>
      </c>
      <c r="D24" s="43">
        <f t="shared" ref="D24:H24" si="5">D22+D23</f>
        <v>172227.38669543149</v>
      </c>
      <c r="E24" s="43">
        <f t="shared" si="5"/>
        <v>192041.19157622324</v>
      </c>
      <c r="F24" s="43">
        <f t="shared" si="5"/>
        <v>211976.68938265103</v>
      </c>
      <c r="G24" s="43">
        <f t="shared" si="5"/>
        <v>231768.79370151277</v>
      </c>
      <c r="H24" s="43">
        <f t="shared" si="5"/>
        <v>250999.50018105132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19C7-77BF-4BEF-93EE-1E64F9BD0F14}">
  <dimension ref="B1:H7"/>
  <sheetViews>
    <sheetView workbookViewId="0">
      <selection activeCell="B2" sqref="B2"/>
    </sheetView>
  </sheetViews>
  <sheetFormatPr defaultRowHeight="14.5" x14ac:dyDescent="0.35"/>
  <cols>
    <col min="2" max="2" width="15.7265625" bestFit="1" customWidth="1"/>
    <col min="3" max="8" width="12.08984375" bestFit="1" customWidth="1"/>
  </cols>
  <sheetData>
    <row r="1" spans="2:8" ht="15" thickBot="1" x14ac:dyDescent="0.4">
      <c r="H1" s="39" t="s">
        <v>8</v>
      </c>
    </row>
    <row r="2" spans="2:8" ht="15" thickBot="1" x14ac:dyDescent="0.4">
      <c r="B2" s="49" t="s">
        <v>24</v>
      </c>
      <c r="C2" s="50">
        <v>25</v>
      </c>
      <c r="D2" s="51">
        <f>C2+1</f>
        <v>26</v>
      </c>
      <c r="E2" s="51">
        <f t="shared" ref="E2:H2" si="0">D2+1</f>
        <v>27</v>
      </c>
      <c r="F2" s="51">
        <f t="shared" si="0"/>
        <v>28</v>
      </c>
      <c r="G2" s="51">
        <f t="shared" si="0"/>
        <v>29</v>
      </c>
      <c r="H2" s="52">
        <f t="shared" si="0"/>
        <v>30</v>
      </c>
    </row>
    <row r="3" spans="2:8" x14ac:dyDescent="0.35">
      <c r="B3" s="15" t="s">
        <v>45</v>
      </c>
      <c r="C3" s="44">
        <f>Revenue!C24</f>
        <v>152913</v>
      </c>
      <c r="D3" s="31">
        <f>Revenue!D24</f>
        <v>172227.38669543149</v>
      </c>
      <c r="E3" s="31">
        <f>Revenue!E24</f>
        <v>192041.19157622324</v>
      </c>
      <c r="F3" s="31">
        <f>Revenue!F24</f>
        <v>211976.68938265103</v>
      </c>
      <c r="G3" s="31">
        <f>Revenue!G24</f>
        <v>231768.79370151277</v>
      </c>
      <c r="H3" s="31">
        <f>Revenue!H24</f>
        <v>250999.50018105132</v>
      </c>
    </row>
    <row r="4" spans="2:8" x14ac:dyDescent="0.35">
      <c r="B4" s="16" t="s">
        <v>46</v>
      </c>
      <c r="C4" s="41">
        <f>C3*70%</f>
        <v>107039.09999999999</v>
      </c>
      <c r="D4" s="30">
        <f>D3*IF(Assumptions!$B$1="Base",Assumptions!B15,IF(Assumptions!$B$1="Upside",Assumptions!B15+Assumptions!$Q$6,Assumptions!B15+Assumptions!$R$6))</f>
        <v>125725.99228766498</v>
      </c>
      <c r="E4" s="30">
        <f>E3*IF(Assumptions!$B$1="Base",Assumptions!C15,IF(Assumptions!$B$1="Upside",Assumptions!C15+Assumptions!$Q$6,Assumptions!C15+Assumptions!$R$6))</f>
        <v>139229.86389276184</v>
      </c>
      <c r="F4" s="30">
        <f>F3*IF(Assumptions!$B$1="Base",Assumptions!D15,IF(Assumptions!$B$1="Upside",Assumptions!D15+Assumptions!$Q$6,Assumptions!D15+Assumptions!$R$6))</f>
        <v>152623.21635550875</v>
      </c>
      <c r="G4" s="30">
        <f>G3*IF(Assumptions!$B$1="Base",Assumptions!E15,IF(Assumptions!$B$1="Upside",Assumptions!E15+Assumptions!$Q$6,Assumptions!E15+Assumptions!$R$6))</f>
        <v>165714.68749658161</v>
      </c>
      <c r="H4" s="30">
        <f>H3*IF(Assumptions!$B$1="Base",Assumptions!F15,IF(Assumptions!$B$1="Upside",Assumptions!F15+Assumptions!$Q$6,Assumptions!F15+Assumptions!$R$6))</f>
        <v>178209.64512854643</v>
      </c>
    </row>
    <row r="5" spans="2:8" x14ac:dyDescent="0.35">
      <c r="B5" s="16" t="s">
        <v>47</v>
      </c>
      <c r="C5" s="41">
        <f>C3*5%</f>
        <v>7645.6500000000005</v>
      </c>
      <c r="D5" s="30">
        <f>D4*IF(Assumptions!$B$1="Base",Assumptions!B16,IF(Assumptions!$B$1="Upside",Assumptions!B16+Assumptions!$Q$6,Assumptions!B16+Assumptions!$R$6))</f>
        <v>6286.2996143832497</v>
      </c>
      <c r="E5" s="30">
        <f>E4*IF(Assumptions!$B$1="Base",Assumptions!C16,IF(Assumptions!$B$1="Upside",Assumptions!C16+Assumptions!$Q$6,Assumptions!C16+Assumptions!$R$6))</f>
        <v>6822.2633307453307</v>
      </c>
      <c r="F5" s="30">
        <f>F4*IF(Assumptions!$B$1="Base",Assumptions!D16,IF(Assumptions!$B$1="Upside",Assumptions!D16+Assumptions!$Q$6,Assumptions!D16+Assumptions!$R$6))</f>
        <v>7325.9143850644195</v>
      </c>
      <c r="G5" s="30">
        <f>G4*IF(Assumptions!$B$1="Base",Assumptions!E16,IF(Assumptions!$B$1="Upside",Assumptions!E16+Assumptions!$Q$6,Assumptions!E16+Assumptions!$R$6))</f>
        <v>7788.5903123393355</v>
      </c>
      <c r="H5" s="30">
        <f>H4*IF(Assumptions!$B$1="Base",Assumptions!F16,IF(Assumptions!$B$1="Upside",Assumptions!F16+Assumptions!$Q$6,Assumptions!F16+Assumptions!$R$6))</f>
        <v>8197.6436759131357</v>
      </c>
    </row>
    <row r="6" spans="2:8" x14ac:dyDescent="0.35">
      <c r="B6" s="16" t="s">
        <v>48</v>
      </c>
      <c r="C6" s="41">
        <v>18004.250000000007</v>
      </c>
      <c r="D6" s="30">
        <f>D5*IF(Assumptions!$B$1="Base",Assumptions!B17,IF(Assumptions!$B$1="Upside",Assumptions!B17+Assumptions!$Q$6,Assumptions!B17+Assumptions!$R$6))</f>
        <v>628.62996143832504</v>
      </c>
      <c r="E6" s="30">
        <f>E5*IF(Assumptions!$B$1="Base",Assumptions!C17,IF(Assumptions!$B$1="Upside",Assumptions!C17+Assumptions!$Q$6,Assumptions!C17+Assumptions!$R$6))</f>
        <v>668.58180641304239</v>
      </c>
      <c r="F6" s="30">
        <f>F5*IF(Assumptions!$B$1="Base",Assumptions!D17,IF(Assumptions!$B$1="Upside",Assumptions!D17+Assumptions!$Q$6,Assumptions!D17+Assumptions!$R$6))</f>
        <v>710.61369535124868</v>
      </c>
      <c r="G6" s="30">
        <f>G5*IF(Assumptions!$B$1="Base",Assumptions!E17,IF(Assumptions!$B$1="Upside",Assumptions!E17+Assumptions!$Q$6,Assumptions!E17+Assumptions!$R$6))</f>
        <v>747.70466998457619</v>
      </c>
      <c r="H6" s="30">
        <f>H5*IF(Assumptions!$B$1="Base",Assumptions!F17,IF(Assumptions!$B$1="Upside",Assumptions!F17+Assumptions!$Q$6,Assumptions!F17+Assumptions!$R$6))</f>
        <v>778.77614921174791</v>
      </c>
    </row>
    <row r="7" spans="2:8" ht="15" thickBot="1" x14ac:dyDescent="0.4">
      <c r="B7" s="38" t="s">
        <v>64</v>
      </c>
      <c r="C7" s="45">
        <f>SUM(C4:C6)</f>
        <v>132689</v>
      </c>
      <c r="D7" s="46">
        <f t="shared" ref="D7:H7" si="1">SUM(D4:D6)</f>
        <v>132640.92186348655</v>
      </c>
      <c r="E7" s="46">
        <f t="shared" si="1"/>
        <v>146720.70902992022</v>
      </c>
      <c r="F7" s="46">
        <f t="shared" si="1"/>
        <v>160659.74443592443</v>
      </c>
      <c r="G7" s="46">
        <f t="shared" si="1"/>
        <v>174250.98247890553</v>
      </c>
      <c r="H7" s="46">
        <f t="shared" si="1"/>
        <v>187186.0649536713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5A92-09E6-4987-8F9A-D507C021A795}">
  <dimension ref="B1:H15"/>
  <sheetViews>
    <sheetView workbookViewId="0">
      <selection activeCell="D15" sqref="D15"/>
    </sheetView>
  </sheetViews>
  <sheetFormatPr defaultRowHeight="14.5" x14ac:dyDescent="0.35"/>
  <cols>
    <col min="2" max="2" width="15.7265625" bestFit="1" customWidth="1"/>
    <col min="3" max="7" width="11.1796875" bestFit="1" customWidth="1"/>
    <col min="8" max="8" width="11.81640625" bestFit="1" customWidth="1"/>
  </cols>
  <sheetData>
    <row r="1" spans="2:8" ht="15" thickBot="1" x14ac:dyDescent="0.4">
      <c r="H1" s="39" t="s">
        <v>8</v>
      </c>
    </row>
    <row r="2" spans="2:8" ht="15" thickBot="1" x14ac:dyDescent="0.4">
      <c r="B2" s="49" t="s">
        <v>24</v>
      </c>
      <c r="C2" s="50">
        <v>25</v>
      </c>
      <c r="D2" s="51">
        <f>C2+1</f>
        <v>26</v>
      </c>
      <c r="E2" s="51">
        <f t="shared" ref="E2:H2" si="0">D2+1</f>
        <v>27</v>
      </c>
      <c r="F2" s="51">
        <f t="shared" si="0"/>
        <v>28</v>
      </c>
      <c r="G2" s="51">
        <f t="shared" si="0"/>
        <v>29</v>
      </c>
      <c r="H2" s="52">
        <f t="shared" si="0"/>
        <v>30</v>
      </c>
    </row>
    <row r="3" spans="2:8" x14ac:dyDescent="0.35">
      <c r="B3" s="15" t="s">
        <v>45</v>
      </c>
      <c r="C3" s="44">
        <f>Revenue!C24</f>
        <v>152913</v>
      </c>
      <c r="D3" s="31">
        <f>Revenue!D24</f>
        <v>172227.38669543149</v>
      </c>
      <c r="E3" s="31">
        <f>Revenue!E24</f>
        <v>192041.19157622324</v>
      </c>
      <c r="F3" s="31">
        <f>Revenue!F24</f>
        <v>211976.68938265103</v>
      </c>
      <c r="G3" s="31">
        <f>Revenue!G24</f>
        <v>231768.79370151277</v>
      </c>
      <c r="H3" s="31">
        <f>Revenue!H24</f>
        <v>250999.50018105132</v>
      </c>
    </row>
    <row r="4" spans="2:8" x14ac:dyDescent="0.35">
      <c r="B4" s="16" t="s">
        <v>46</v>
      </c>
      <c r="C4" s="41">
        <f>Cost!C4</f>
        <v>107039.09999999999</v>
      </c>
      <c r="D4" s="41">
        <f>Cost!D4</f>
        <v>125725.99228766498</v>
      </c>
      <c r="E4" s="41">
        <f>Cost!E4</f>
        <v>139229.86389276184</v>
      </c>
      <c r="F4" s="41">
        <f>Cost!F4</f>
        <v>152623.21635550875</v>
      </c>
      <c r="G4" s="41">
        <f>Cost!G4</f>
        <v>165714.68749658161</v>
      </c>
      <c r="H4" s="41">
        <f>Cost!H4</f>
        <v>178209.64512854643</v>
      </c>
    </row>
    <row r="5" spans="2:8" x14ac:dyDescent="0.35">
      <c r="B5" s="16" t="s">
        <v>47</v>
      </c>
      <c r="C5" s="41">
        <f>Cost!C5</f>
        <v>7645.6500000000005</v>
      </c>
      <c r="D5" s="41">
        <f>Cost!D5</f>
        <v>6286.2996143832497</v>
      </c>
      <c r="E5" s="41">
        <f>Cost!E5</f>
        <v>6822.2633307453307</v>
      </c>
      <c r="F5" s="41">
        <f>Cost!F5</f>
        <v>7325.9143850644195</v>
      </c>
      <c r="G5" s="41">
        <f>Cost!G5</f>
        <v>7788.5903123393355</v>
      </c>
      <c r="H5" s="41">
        <f>Cost!H5</f>
        <v>8197.6436759131357</v>
      </c>
    </row>
    <row r="6" spans="2:8" x14ac:dyDescent="0.35">
      <c r="B6" s="16" t="s">
        <v>48</v>
      </c>
      <c r="C6" s="41">
        <f>Cost!C6</f>
        <v>18004.250000000007</v>
      </c>
      <c r="D6" s="41">
        <f>Cost!D6</f>
        <v>628.62996143832504</v>
      </c>
      <c r="E6" s="41">
        <f>Cost!E6</f>
        <v>668.58180641304239</v>
      </c>
      <c r="F6" s="41">
        <f>Cost!F6</f>
        <v>710.61369535124868</v>
      </c>
      <c r="G6" s="41">
        <f>Cost!G6</f>
        <v>747.70466998457619</v>
      </c>
      <c r="H6" s="41">
        <f>Cost!H6</f>
        <v>778.77614921174791</v>
      </c>
    </row>
    <row r="7" spans="2:8" x14ac:dyDescent="0.35">
      <c r="B7" s="16" t="s">
        <v>4</v>
      </c>
      <c r="C7" s="41">
        <f>C3-SUM(C4:C6)</f>
        <v>20224</v>
      </c>
      <c r="D7" s="30">
        <f t="shared" ref="D7:H7" si="1">D3-SUM(D4:D6)</f>
        <v>39586.464831944933</v>
      </c>
      <c r="E7" s="30">
        <f t="shared" si="1"/>
        <v>45320.482546303014</v>
      </c>
      <c r="F7" s="30">
        <f t="shared" si="1"/>
        <v>51316.944946726609</v>
      </c>
      <c r="G7" s="30">
        <f t="shared" si="1"/>
        <v>57517.811222607241</v>
      </c>
      <c r="H7" s="30">
        <f t="shared" si="1"/>
        <v>63813.435227380018</v>
      </c>
    </row>
    <row r="8" spans="2:8" x14ac:dyDescent="0.35">
      <c r="B8" s="17" t="s">
        <v>5</v>
      </c>
      <c r="C8" s="47">
        <f>C7/C3</f>
        <v>0.13225821218601427</v>
      </c>
      <c r="D8" s="48">
        <f t="shared" ref="D8:H8" si="2">D7/D3</f>
        <v>0.22985000000000003</v>
      </c>
      <c r="E8" s="48">
        <f t="shared" si="2"/>
        <v>0.23599354999999997</v>
      </c>
      <c r="F8" s="48">
        <f t="shared" si="2"/>
        <v>0.24208767999999994</v>
      </c>
      <c r="G8" s="48">
        <f t="shared" si="2"/>
        <v>0.24816892000000007</v>
      </c>
      <c r="H8" s="48">
        <f t="shared" si="2"/>
        <v>0.25423730000000005</v>
      </c>
    </row>
    <row r="9" spans="2:8" x14ac:dyDescent="0.35">
      <c r="B9" s="16" t="s">
        <v>49</v>
      </c>
      <c r="C9" s="41">
        <v>5608</v>
      </c>
      <c r="D9" s="30">
        <f>D3*Assumptions!$B$26</f>
        <v>5166.8216008629443</v>
      </c>
      <c r="E9" s="30">
        <f>E3*Assumptions!$B$26</f>
        <v>5761.235747286697</v>
      </c>
      <c r="F9" s="30">
        <f>F3*Assumptions!$B$26</f>
        <v>6359.3006814795308</v>
      </c>
      <c r="G9" s="30">
        <f>G3*Assumptions!$B$26</f>
        <v>6953.0638110453829</v>
      </c>
      <c r="H9" s="30">
        <f>H3*Assumptions!$B$26</f>
        <v>7529.9850054315393</v>
      </c>
    </row>
    <row r="10" spans="2:8" x14ac:dyDescent="0.35">
      <c r="B10" s="16" t="s">
        <v>50</v>
      </c>
      <c r="C10" s="41">
        <f>C7-C9</f>
        <v>14616</v>
      </c>
      <c r="D10" s="30">
        <f t="shared" ref="D10:H10" si="3">D7-D9</f>
        <v>34419.643231081987</v>
      </c>
      <c r="E10" s="30">
        <f t="shared" si="3"/>
        <v>39559.246799016313</v>
      </c>
      <c r="F10" s="30">
        <f t="shared" si="3"/>
        <v>44957.64426524708</v>
      </c>
      <c r="G10" s="30">
        <f t="shared" si="3"/>
        <v>50564.747411561861</v>
      </c>
      <c r="H10" s="30">
        <f t="shared" si="3"/>
        <v>56283.450221948478</v>
      </c>
    </row>
    <row r="11" spans="2:8" x14ac:dyDescent="0.35">
      <c r="B11" s="16" t="s">
        <v>55</v>
      </c>
      <c r="C11" s="41">
        <v>5199</v>
      </c>
      <c r="D11" s="30">
        <f>D3*Assumptions!$B$29</f>
        <v>5166.8216008629443</v>
      </c>
      <c r="E11" s="30">
        <f>E3*Assumptions!$B$29</f>
        <v>5761.235747286697</v>
      </c>
      <c r="F11" s="30">
        <f>F3*Assumptions!$B$29</f>
        <v>6359.3006814795308</v>
      </c>
      <c r="G11" s="30">
        <f>G3*Assumptions!$B$29</f>
        <v>6953.0638110453829</v>
      </c>
      <c r="H11" s="30">
        <f>H3*Assumptions!$B$29</f>
        <v>7529.9850054315393</v>
      </c>
    </row>
    <row r="12" spans="2:8" x14ac:dyDescent="0.35">
      <c r="B12" s="16" t="s">
        <v>51</v>
      </c>
      <c r="C12" s="41">
        <v>194</v>
      </c>
      <c r="D12" s="30">
        <f>D3*Assumptions!$B$27</f>
        <v>861.13693347715741</v>
      </c>
      <c r="E12" s="30">
        <f>E3*Assumptions!$B$27</f>
        <v>960.20595788111621</v>
      </c>
      <c r="F12" s="30">
        <f>F3*Assumptions!$B$27</f>
        <v>1059.8834469132553</v>
      </c>
      <c r="G12" s="30">
        <f>G3*Assumptions!$B$27</f>
        <v>1158.8439685075639</v>
      </c>
      <c r="H12" s="30">
        <f>H3*Assumptions!$B$27</f>
        <v>1254.9975009052566</v>
      </c>
    </row>
    <row r="13" spans="2:8" x14ac:dyDescent="0.35">
      <c r="B13" s="16" t="s">
        <v>52</v>
      </c>
      <c r="C13" s="41">
        <f>C10+C11-C12</f>
        <v>19621</v>
      </c>
      <c r="D13" s="30">
        <f>D10+D11-D12</f>
        <v>38725.327898467775</v>
      </c>
      <c r="E13" s="30">
        <f t="shared" ref="E13:H13" si="4">E10+E11-E12</f>
        <v>44360.276588421897</v>
      </c>
      <c r="F13" s="30">
        <f t="shared" si="4"/>
        <v>50257.061499813353</v>
      </c>
      <c r="G13" s="30">
        <f t="shared" si="4"/>
        <v>56358.967254099676</v>
      </c>
      <c r="H13" s="30">
        <f t="shared" si="4"/>
        <v>62558.43772647476</v>
      </c>
    </row>
    <row r="14" spans="2:8" x14ac:dyDescent="0.35">
      <c r="B14" s="16" t="s">
        <v>53</v>
      </c>
      <c r="C14" s="41">
        <f>C13*26%</f>
        <v>5101.46</v>
      </c>
      <c r="D14" s="30">
        <f>D13*Assumptions!$B$28</f>
        <v>9681.3319746169436</v>
      </c>
      <c r="E14" s="30">
        <f>E13*Assumptions!$B$28</f>
        <v>11090.069147105474</v>
      </c>
      <c r="F14" s="30">
        <f>F13*Assumptions!$B$28</f>
        <v>12564.265374953338</v>
      </c>
      <c r="G14" s="30">
        <f>G13*Assumptions!$B$28</f>
        <v>14089.741813524919</v>
      </c>
      <c r="H14" s="30">
        <f>H13*Assumptions!$B$28</f>
        <v>15639.60943161869</v>
      </c>
    </row>
    <row r="15" spans="2:8" ht="15" thickBot="1" x14ac:dyDescent="0.4">
      <c r="B15" s="18" t="s">
        <v>6</v>
      </c>
      <c r="C15" s="41">
        <f>C13-C14</f>
        <v>14519.54</v>
      </c>
      <c r="D15" s="30">
        <f>D13-D14</f>
        <v>29043.995923850831</v>
      </c>
      <c r="E15" s="30">
        <f t="shared" ref="E15:H15" si="5">E13-E14</f>
        <v>33270.207441316423</v>
      </c>
      <c r="F15" s="30">
        <f t="shared" si="5"/>
        <v>37692.796124860019</v>
      </c>
      <c r="G15" s="30">
        <f t="shared" si="5"/>
        <v>42269.225440574759</v>
      </c>
      <c r="H15" s="30">
        <f t="shared" si="5"/>
        <v>46918.828294856066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08EC-E479-4C2E-8592-B5402E461B91}">
  <dimension ref="B1:H8"/>
  <sheetViews>
    <sheetView workbookViewId="0">
      <selection activeCell="D8" sqref="D8"/>
    </sheetView>
  </sheetViews>
  <sheetFormatPr defaultRowHeight="14.5" x14ac:dyDescent="0.35"/>
  <cols>
    <col min="2" max="2" width="23.1796875" bestFit="1" customWidth="1"/>
    <col min="3" max="7" width="11.1796875" bestFit="1" customWidth="1"/>
    <col min="8" max="8" width="11.81640625" bestFit="1" customWidth="1"/>
  </cols>
  <sheetData>
    <row r="1" spans="2:8" ht="15" thickBot="1" x14ac:dyDescent="0.4">
      <c r="H1" s="39" t="s">
        <v>8</v>
      </c>
    </row>
    <row r="2" spans="2:8" ht="15" thickBot="1" x14ac:dyDescent="0.4">
      <c r="B2" s="49" t="s">
        <v>40</v>
      </c>
      <c r="C2" s="50">
        <v>25</v>
      </c>
      <c r="D2" s="51">
        <f>C2+1</f>
        <v>26</v>
      </c>
      <c r="E2" s="51">
        <f t="shared" ref="E2:H2" si="0">D2+1</f>
        <v>27</v>
      </c>
      <c r="F2" s="51">
        <f t="shared" si="0"/>
        <v>28</v>
      </c>
      <c r="G2" s="51">
        <f t="shared" si="0"/>
        <v>29</v>
      </c>
      <c r="H2" s="52">
        <f t="shared" si="0"/>
        <v>30</v>
      </c>
    </row>
    <row r="3" spans="2:8" x14ac:dyDescent="0.35">
      <c r="B3" s="15" t="s">
        <v>3</v>
      </c>
      <c r="C3" s="44">
        <f>'P&amp;L'!C3</f>
        <v>152913</v>
      </c>
      <c r="D3" s="31">
        <f>'P&amp;L'!D3</f>
        <v>172227.38669543149</v>
      </c>
      <c r="E3" s="31">
        <f>'P&amp;L'!E3</f>
        <v>192041.19157622324</v>
      </c>
      <c r="F3" s="31">
        <f>'P&amp;L'!F3</f>
        <v>211976.68938265103</v>
      </c>
      <c r="G3" s="31">
        <f>'P&amp;L'!G3</f>
        <v>231768.79370151277</v>
      </c>
      <c r="H3" s="31">
        <f>'P&amp;L'!H3</f>
        <v>250999.50018105132</v>
      </c>
    </row>
    <row r="4" spans="2:8" x14ac:dyDescent="0.35">
      <c r="B4" s="16" t="s">
        <v>59</v>
      </c>
      <c r="C4" s="41">
        <v>6540</v>
      </c>
      <c r="D4" s="30">
        <f>D$3*IF(Assumptions!$B$1="Base",Assumptions!$B$21,IF(Assumptions!$B$1="Upside",Assumptions!$B$21+Assumptions!$Q$9,Assumptions!$B$21+Assumptions!$R$9))/365</f>
        <v>9437.1170792017256</v>
      </c>
      <c r="E4" s="30">
        <f>E$3*IF(Assumptions!$B$1="Base",Assumptions!$B$21,IF(Assumptions!$B$1="Upside",Assumptions!$B$21+Assumptions!$Q$9,Assumptions!$B$21+Assumptions!$R$9))/365</f>
        <v>10522.805017875246</v>
      </c>
      <c r="F4" s="30">
        <f>F$3*IF(Assumptions!$B$1="Base",Assumptions!$B$21,IF(Assumptions!$B$1="Upside",Assumptions!$B$21+Assumptions!$Q$9,Assumptions!$B$21+Assumptions!$R$9))/365</f>
        <v>11615.161062063071</v>
      </c>
      <c r="G4" s="30">
        <f>G$3*IF(Assumptions!$B$1="Base",Assumptions!$B$21,IF(Assumptions!$B$1="Upside",Assumptions!$B$21+Assumptions!$Q$9,Assumptions!$B$21+Assumptions!$R$9))/365</f>
        <v>12699.659928850017</v>
      </c>
      <c r="H4" s="30">
        <f>H$3*IF(Assumptions!$B$1="Base",Assumptions!$B$21,IF(Assumptions!$B$1="Upside",Assumptions!$B$21+Assumptions!$Q$9,Assumptions!$B$21+Assumptions!$R$9))/365</f>
        <v>13753.397270194595</v>
      </c>
    </row>
    <row r="5" spans="2:8" x14ac:dyDescent="0.35">
      <c r="B5" s="16" t="s">
        <v>60</v>
      </c>
      <c r="C5" s="41">
        <v>6913</v>
      </c>
      <c r="D5" s="30">
        <f>D$3*IF(Assumptions!$B$1="Base",Assumptions!$B$22,IF(Assumptions!$B$1="Upside",Assumptions!$B$22+Assumptions!$Q$9,Assumptions!$B$22+Assumptions!$R$9))/365</f>
        <v>14155.675618802588</v>
      </c>
      <c r="E5" s="30">
        <f>E$3*IF(Assumptions!$B$1="Base",Assumptions!$B$22,IF(Assumptions!$B$1="Upside",Assumptions!$B$22+Assumptions!$Q$9,Assumptions!$B$22+Assumptions!$R$9))/365</f>
        <v>15784.207526812868</v>
      </c>
      <c r="F5" s="30">
        <f>F$3*IF(Assumptions!$B$1="Base",Assumptions!$B$22,IF(Assumptions!$B$1="Upside",Assumptions!$B$22+Assumptions!$Q$9,Assumptions!$B$22+Assumptions!$R$9))/365</f>
        <v>17422.741593094608</v>
      </c>
      <c r="G5" s="30">
        <f>G$3*IF(Assumptions!$B$1="Base",Assumptions!$B$22,IF(Assumptions!$B$1="Upside",Assumptions!$B$22+Assumptions!$Q$9,Assumptions!$B$22+Assumptions!$R$9))/365</f>
        <v>19049.489893275022</v>
      </c>
      <c r="H5" s="30">
        <f>H$3*IF(Assumptions!$B$1="Base",Assumptions!$B$22,IF(Assumptions!$B$1="Upside",Assumptions!$B$22+Assumptions!$Q$9,Assumptions!$B$22+Assumptions!$R$9))/365</f>
        <v>20630.095905291888</v>
      </c>
    </row>
    <row r="6" spans="2:8" x14ac:dyDescent="0.35">
      <c r="B6" s="16" t="s">
        <v>61</v>
      </c>
      <c r="C6" s="41">
        <v>20502</v>
      </c>
      <c r="D6" s="30">
        <f>D$3*IF(Assumptions!$B$1="Base",Assumptions!$B$23,IF(Assumptions!$B$1="Upside",Assumptions!$B$23+Assumptions!$Q$9,Assumptions!$B$23+Assumptions!$R$9))/365</f>
        <v>21233.513428203882</v>
      </c>
      <c r="E6" s="30">
        <f>E$3*IF(Assumptions!$B$1="Base",Assumptions!$B$23,IF(Assumptions!$B$1="Upside",Assumptions!$B$23+Assumptions!$Q$9,Assumptions!$B$23+Assumptions!$R$9))/365</f>
        <v>23676.311290219302</v>
      </c>
      <c r="F6" s="30">
        <f>F$3*IF(Assumptions!$B$1="Base",Assumptions!$B$23,IF(Assumptions!$B$1="Upside",Assumptions!$B$23+Assumptions!$Q$9,Assumptions!$B$23+Assumptions!$R$9))/365</f>
        <v>26134.112389641909</v>
      </c>
      <c r="G6" s="30">
        <f>G$3*IF(Assumptions!$B$1="Base",Assumptions!$B$23,IF(Assumptions!$B$1="Upside",Assumptions!$B$23+Assumptions!$Q$9,Assumptions!$B$23+Assumptions!$R$9))/365</f>
        <v>28574.234839912533</v>
      </c>
      <c r="H6" s="30">
        <f>H$3*IF(Assumptions!$B$1="Base",Assumptions!$B$23,IF(Assumptions!$B$1="Upside",Assumptions!$B$23+Assumptions!$Q$9,Assumptions!$B$23+Assumptions!$R$9))/365</f>
        <v>30945.14385793783</v>
      </c>
    </row>
    <row r="7" spans="2:8" x14ac:dyDescent="0.35">
      <c r="B7" s="16" t="s">
        <v>63</v>
      </c>
      <c r="C7" s="41">
        <f>C4+C5-C6</f>
        <v>-7049</v>
      </c>
      <c r="D7" s="30">
        <f t="shared" ref="D7:H7" si="1">D4+D5-D6</f>
        <v>2359.2792698004305</v>
      </c>
      <c r="E7" s="30">
        <f t="shared" si="1"/>
        <v>2630.7012544688114</v>
      </c>
      <c r="F7" s="30">
        <f t="shared" si="1"/>
        <v>2903.7902655157704</v>
      </c>
      <c r="G7" s="30">
        <f t="shared" si="1"/>
        <v>3174.9149822125037</v>
      </c>
      <c r="H7" s="30">
        <f t="shared" si="1"/>
        <v>3438.349317548651</v>
      </c>
    </row>
    <row r="8" spans="2:8" ht="15" thickBot="1" x14ac:dyDescent="0.4">
      <c r="B8" s="18" t="s">
        <v>62</v>
      </c>
      <c r="C8" s="41">
        <v>-378</v>
      </c>
      <c r="D8" s="30">
        <f>D7-C7</f>
        <v>9408.2792698004305</v>
      </c>
      <c r="E8" s="30">
        <f t="shared" ref="E8:H8" si="2">E7-D7</f>
        <v>271.4219846683809</v>
      </c>
      <c r="F8" s="30">
        <f t="shared" si="2"/>
        <v>273.08901104695906</v>
      </c>
      <c r="G8" s="30">
        <f t="shared" si="2"/>
        <v>271.12471669673323</v>
      </c>
      <c r="H8" s="30">
        <f t="shared" si="2"/>
        <v>263.43433533614734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5965-C3D9-49D0-8AFC-58D7A5337B08}">
  <dimension ref="B1:H10"/>
  <sheetViews>
    <sheetView workbookViewId="0">
      <selection activeCell="E10" sqref="E10"/>
    </sheetView>
  </sheetViews>
  <sheetFormatPr defaultRowHeight="14.5" x14ac:dyDescent="0.35"/>
  <cols>
    <col min="2" max="2" width="28.90625" bestFit="1" customWidth="1"/>
    <col min="3" max="3" width="10.36328125" bestFit="1" customWidth="1"/>
    <col min="4" max="8" width="9.7265625" bestFit="1" customWidth="1"/>
  </cols>
  <sheetData>
    <row r="1" spans="2:8" ht="15" thickBot="1" x14ac:dyDescent="0.4">
      <c r="H1" s="39" t="s">
        <v>8</v>
      </c>
    </row>
    <row r="2" spans="2:8" ht="15" thickBot="1" x14ac:dyDescent="0.4">
      <c r="B2" s="49" t="s">
        <v>24</v>
      </c>
      <c r="C2" s="50">
        <v>25</v>
      </c>
      <c r="D2" s="51">
        <f>C2+1</f>
        <v>26</v>
      </c>
      <c r="E2" s="51">
        <f t="shared" ref="E2:H2" si="0">D2+1</f>
        <v>27</v>
      </c>
      <c r="F2" s="51">
        <f t="shared" si="0"/>
        <v>28</v>
      </c>
      <c r="G2" s="51">
        <f t="shared" si="0"/>
        <v>29</v>
      </c>
      <c r="H2" s="52">
        <f t="shared" si="0"/>
        <v>30</v>
      </c>
    </row>
    <row r="3" spans="2:8" x14ac:dyDescent="0.35">
      <c r="B3" s="15" t="s">
        <v>6</v>
      </c>
      <c r="C3" s="44">
        <f>'P&amp;L'!C15</f>
        <v>14519.54</v>
      </c>
      <c r="D3" s="31">
        <f>'P&amp;L'!D15</f>
        <v>29043.995923850831</v>
      </c>
      <c r="E3" s="31">
        <f>'P&amp;L'!E15</f>
        <v>33270.207441316423</v>
      </c>
      <c r="F3" s="31">
        <f>'P&amp;L'!F15</f>
        <v>37692.796124860019</v>
      </c>
      <c r="G3" s="31">
        <f>'P&amp;L'!G15</f>
        <v>42269.225440574759</v>
      </c>
      <c r="H3" s="31">
        <f>'P&amp;L'!H15</f>
        <v>46918.828294856066</v>
      </c>
    </row>
    <row r="4" spans="2:8" x14ac:dyDescent="0.35">
      <c r="B4" s="40" t="s">
        <v>68</v>
      </c>
      <c r="C4" s="41">
        <f>'P&amp;L'!C9</f>
        <v>5608</v>
      </c>
      <c r="D4" s="30">
        <f>'P&amp;L'!D9</f>
        <v>5166.8216008629443</v>
      </c>
      <c r="E4" s="30">
        <f>'P&amp;L'!E9</f>
        <v>5761.235747286697</v>
      </c>
      <c r="F4" s="30">
        <f>'P&amp;L'!F9</f>
        <v>6359.3006814795308</v>
      </c>
      <c r="G4" s="30">
        <f>'P&amp;L'!G9</f>
        <v>6953.0638110453829</v>
      </c>
      <c r="H4" s="30">
        <f>'P&amp;L'!H9</f>
        <v>7529.9850054315393</v>
      </c>
    </row>
    <row r="5" spans="2:8" x14ac:dyDescent="0.35">
      <c r="B5" s="40" t="s">
        <v>62</v>
      </c>
      <c r="C5" s="41" cm="1">
        <f t="array" ref="C5:H5">'working capital'!C8:H8</f>
        <v>-378</v>
      </c>
      <c r="D5" s="30">
        <v>9408.2792698004305</v>
      </c>
      <c r="E5" s="30">
        <v>271.4219846683809</v>
      </c>
      <c r="F5" s="30">
        <v>273.08901104695906</v>
      </c>
      <c r="G5" s="30">
        <v>271.12471669673323</v>
      </c>
      <c r="H5" s="30">
        <v>263.43433533614734</v>
      </c>
    </row>
    <row r="6" spans="2:8" x14ac:dyDescent="0.35">
      <c r="B6" s="16" t="s">
        <v>69</v>
      </c>
      <c r="C6" s="41">
        <f>C3+C4-C5</f>
        <v>20505.54</v>
      </c>
      <c r="D6" s="30">
        <f t="shared" ref="D6:H6" si="1">D3+D4-D5</f>
        <v>24802.538254913346</v>
      </c>
      <c r="E6" s="30">
        <f t="shared" si="1"/>
        <v>38760.021203934739</v>
      </c>
      <c r="F6" s="30">
        <f t="shared" si="1"/>
        <v>43779.007795292593</v>
      </c>
      <c r="G6" s="30">
        <f t="shared" si="1"/>
        <v>48951.164534923402</v>
      </c>
      <c r="H6" s="30">
        <f t="shared" si="1"/>
        <v>54185.378964951458</v>
      </c>
    </row>
    <row r="7" spans="2:8" x14ac:dyDescent="0.35">
      <c r="B7" s="40" t="s">
        <v>70</v>
      </c>
      <c r="C7" s="41">
        <v>34961.54</v>
      </c>
      <c r="D7" s="30">
        <f>'P&amp;L'!D3*Assumptions!$B$30</f>
        <v>6889.0954678172593</v>
      </c>
      <c r="E7" s="30">
        <f>'P&amp;L'!E3*Assumptions!$B$30</f>
        <v>7681.6476630489296</v>
      </c>
      <c r="F7" s="30">
        <f>'P&amp;L'!F3*Assumptions!$B$30</f>
        <v>8479.0675753060423</v>
      </c>
      <c r="G7" s="30">
        <f>'P&amp;L'!G3*Assumptions!$B$30</f>
        <v>9270.7517480605111</v>
      </c>
      <c r="H7" s="30">
        <f>'P&amp;L'!H3*Assumptions!$B$30</f>
        <v>10039.980007242053</v>
      </c>
    </row>
    <row r="8" spans="2:8" x14ac:dyDescent="0.35">
      <c r="B8" s="16" t="s">
        <v>71</v>
      </c>
      <c r="C8" s="41">
        <f>C6-C7</f>
        <v>-14456</v>
      </c>
      <c r="D8" s="30">
        <f t="shared" ref="D8:H8" si="2">D6-D7</f>
        <v>17913.442787096086</v>
      </c>
      <c r="E8" s="30">
        <f t="shared" si="2"/>
        <v>31078.373540885808</v>
      </c>
      <c r="F8" s="30">
        <f t="shared" si="2"/>
        <v>35299.940219986551</v>
      </c>
      <c r="G8" s="30">
        <f t="shared" si="2"/>
        <v>39680.412786862893</v>
      </c>
      <c r="H8" s="30">
        <f t="shared" si="2"/>
        <v>44145.398957709403</v>
      </c>
    </row>
    <row r="9" spans="2:8" x14ac:dyDescent="0.35">
      <c r="B9" s="16" t="s">
        <v>73</v>
      </c>
      <c r="C9" s="41">
        <v>3930</v>
      </c>
      <c r="D9" s="30">
        <f>D3*Assumptions!$B$31</f>
        <v>7260.9989809627077</v>
      </c>
      <c r="E9" s="30">
        <f>E3*Assumptions!$B$31</f>
        <v>8317.5518603291057</v>
      </c>
      <c r="F9" s="30">
        <f>F3*Assumptions!$B$31</f>
        <v>9423.1990312150047</v>
      </c>
      <c r="G9" s="30">
        <f>G3*Assumptions!$B$31</f>
        <v>10567.30636014369</v>
      </c>
      <c r="H9" s="30">
        <f>H3*Assumptions!$B$31</f>
        <v>11729.707073714017</v>
      </c>
    </row>
    <row r="10" spans="2:8" ht="15" thickBot="1" x14ac:dyDescent="0.4">
      <c r="B10" s="18" t="s">
        <v>72</v>
      </c>
      <c r="C10" s="41">
        <f>C8-C9</f>
        <v>-18386</v>
      </c>
      <c r="D10" s="30">
        <f t="shared" ref="D10:H10" si="3">D8-D9</f>
        <v>10652.443806133379</v>
      </c>
      <c r="E10" s="30">
        <f t="shared" si="3"/>
        <v>22760.821680556703</v>
      </c>
      <c r="F10" s="30">
        <f t="shared" si="3"/>
        <v>25876.741188771546</v>
      </c>
      <c r="G10" s="30">
        <f t="shared" si="3"/>
        <v>29113.106426719205</v>
      </c>
      <c r="H10" s="30">
        <f t="shared" si="3"/>
        <v>32415.691883995387</v>
      </c>
    </row>
  </sheetData>
  <pageMargins left="0.7" right="0.7" top="0.75" bottom="0.75" header="0.3" footer="0.3"/>
  <ignoredErrors>
    <ignoredError sqref="D9 E9:H9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C604-C3C7-4F64-BFAC-A4CF7FD78CB5}">
  <dimension ref="A1:C12"/>
  <sheetViews>
    <sheetView zoomScale="80" zoomScaleNormal="80" workbookViewId="0">
      <selection activeCell="C14" sqref="C14"/>
    </sheetView>
  </sheetViews>
  <sheetFormatPr defaultRowHeight="14.5" x14ac:dyDescent="0.35"/>
  <cols>
    <col min="1" max="1" width="13.1796875" bestFit="1" customWidth="1"/>
    <col min="2" max="3" width="13.26953125" bestFit="1" customWidth="1"/>
  </cols>
  <sheetData>
    <row r="1" spans="1:3" x14ac:dyDescent="0.35">
      <c r="A1" s="2" t="s">
        <v>76</v>
      </c>
    </row>
    <row r="2" spans="1:3" x14ac:dyDescent="0.35">
      <c r="A2" s="2"/>
    </row>
    <row r="3" spans="1:3" x14ac:dyDescent="0.35">
      <c r="A3" s="53" t="s">
        <v>77</v>
      </c>
      <c r="B3" s="54">
        <v>25</v>
      </c>
      <c r="C3" s="55">
        <v>30</v>
      </c>
    </row>
    <row r="4" spans="1:3" x14ac:dyDescent="0.35">
      <c r="A4" s="4" t="s">
        <v>3</v>
      </c>
      <c r="B4" s="30">
        <f>'P&amp;L'!C3</f>
        <v>152913</v>
      </c>
      <c r="C4" s="30">
        <f>'P&amp;L'!H3</f>
        <v>250999.50018105132</v>
      </c>
    </row>
    <row r="5" spans="1:3" x14ac:dyDescent="0.35">
      <c r="A5" s="4" t="s">
        <v>4</v>
      </c>
      <c r="B5" s="30">
        <f>'P&amp;L'!C7</f>
        <v>20224</v>
      </c>
      <c r="C5" s="30">
        <f>'P&amp;L'!H7</f>
        <v>63813.435227380018</v>
      </c>
    </row>
    <row r="6" spans="1:3" x14ac:dyDescent="0.35">
      <c r="A6" s="4" t="s">
        <v>5</v>
      </c>
      <c r="B6" s="5">
        <f>'P&amp;L'!C8</f>
        <v>0.13225821218601427</v>
      </c>
      <c r="C6" s="5">
        <f>'P&amp;L'!H8</f>
        <v>0.25423730000000005</v>
      </c>
    </row>
    <row r="7" spans="1:3" x14ac:dyDescent="0.35">
      <c r="A7" s="4" t="s">
        <v>6</v>
      </c>
      <c r="B7" s="30">
        <f>'P&amp;L'!C15</f>
        <v>14519.54</v>
      </c>
      <c r="C7" s="30">
        <f>'P&amp;L'!H15</f>
        <v>46918.828294856066</v>
      </c>
    </row>
    <row r="9" spans="1:3" x14ac:dyDescent="0.35">
      <c r="A9" s="53" t="s">
        <v>77</v>
      </c>
      <c r="B9" s="54" t="s">
        <v>11</v>
      </c>
    </row>
    <row r="10" spans="1:3" x14ac:dyDescent="0.35">
      <c r="A10" s="4" t="s">
        <v>78</v>
      </c>
      <c r="B10" s="5">
        <f>(C4/B4)^(1/5)-1</f>
        <v>0.10419477963491097</v>
      </c>
    </row>
    <row r="11" spans="1:3" x14ac:dyDescent="0.35">
      <c r="A11" s="4" t="s">
        <v>79</v>
      </c>
      <c r="B11" s="5">
        <f t="shared" ref="B11:B12" si="0">(C5/B5)^(1/5)-1</f>
        <v>0.25837190525214493</v>
      </c>
    </row>
    <row r="12" spans="1:3" x14ac:dyDescent="0.35">
      <c r="A12" s="4" t="s">
        <v>80</v>
      </c>
      <c r="B12" s="5">
        <f t="shared" si="0"/>
        <v>0.13962855871154423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Historical</vt:lpstr>
      <vt:lpstr>Revenue</vt:lpstr>
      <vt:lpstr>Cost</vt:lpstr>
      <vt:lpstr>P&amp;L</vt:lpstr>
      <vt:lpstr>working capital</vt:lpstr>
      <vt:lpstr>cash flow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Saini</dc:creator>
  <cp:lastModifiedBy>Hemant Saini</cp:lastModifiedBy>
  <dcterms:created xsi:type="dcterms:W3CDTF">2015-06-05T18:17:20Z</dcterms:created>
  <dcterms:modified xsi:type="dcterms:W3CDTF">2026-04-05T06:58:54Z</dcterms:modified>
</cp:coreProperties>
</file>